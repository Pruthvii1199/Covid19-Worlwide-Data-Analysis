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72324d100b41a2f/Desktop/Excel Practice/"/>
    </mc:Choice>
  </mc:AlternateContent>
  <xr:revisionPtr revIDLastSave="0" documentId="8_{55DE9199-1F45-4A85-8D80-35269ADEEAC9}" xr6:coauthVersionLast="47" xr6:coauthVersionMax="47" xr10:uidLastSave="{00000000-0000-0000-0000-000000000000}"/>
  <bookViews>
    <workbookView xWindow="-108" yWindow="-108" windowWidth="23256" windowHeight="12456" tabRatio="753" activeTab="5" xr2:uid="{00000000-000D-0000-FFFF-FFFF00000000}"/>
  </bookViews>
  <sheets>
    <sheet name="COVID_Data" sheetId="1" r:id="rId1"/>
    <sheet name="New_Columns" sheetId="2" r:id="rId2"/>
    <sheet name="Pivot_Tables" sheetId="4" r:id="rId3"/>
    <sheet name="Active Cases Trend" sheetId="15" r:id="rId4"/>
    <sheet name="Charts" sheetId="9" r:id="rId5"/>
    <sheet name="Dashboard" sheetId="17" r:id="rId6"/>
  </sheets>
  <definedNames>
    <definedName name="Slicer_Country">#N/A</definedName>
    <definedName name="Slicer_Country1">#N/A</definedName>
  </definedNames>
  <calcPr calcId="191029"/>
  <pivotCaches>
    <pivotCache cacheId="18" r:id="rId7"/>
    <pivotCache cacheId="7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S10" i="2" l="1"/>
  <c r="P11" i="2"/>
  <c r="P8" i="2"/>
  <c r="P4" i="2"/>
  <c r="J3" i="2"/>
  <c r="J2"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3" i="2"/>
  <c r="I4" i="2"/>
  <c r="I5" i="2"/>
  <c r="I6" i="2"/>
  <c r="I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2" i="2"/>
  <c r="H3" i="2"/>
  <c r="H4" i="2"/>
  <c r="H5" i="2"/>
  <c r="H6" i="2"/>
  <c r="H7" i="2"/>
  <c r="H8" i="2"/>
  <c r="H9" i="2"/>
  <c r="H10" i="2"/>
  <c r="H11" i="2"/>
  <c r="H12" i="2"/>
  <c r="H13" i="2"/>
  <c r="G1201"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33" i="2"/>
  <c r="G34" i="2"/>
  <c r="G35" i="2"/>
  <c r="G36" i="2"/>
  <c r="G37" i="2"/>
  <c r="G38" i="2"/>
  <c r="G39" i="2"/>
  <c r="G40" i="2"/>
  <c r="G41" i="2"/>
  <c r="G42" i="2"/>
  <c r="G43" i="2"/>
  <c r="G44" i="2"/>
  <c r="G45" i="2"/>
  <c r="G46" i="2"/>
  <c r="G47" i="2"/>
  <c r="G48" i="2"/>
  <c r="G49" i="2"/>
  <c r="G50" i="2"/>
  <c r="G51"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<sst xmlns="http://schemas.openxmlformats.org/spreadsheetml/2006/main" count="6386" uniqueCount="177">
  <si>
    <t>Date</t>
  </si>
  <si>
    <t>Country</t>
  </si>
  <si>
    <t>Confirmed</t>
  </si>
  <si>
    <t>Deaths</t>
  </si>
  <si>
    <t>Recovered</t>
  </si>
  <si>
    <t>2021-01-01</t>
  </si>
  <si>
    <t>India</t>
  </si>
  <si>
    <t>USA</t>
  </si>
  <si>
    <t>Brazil</t>
  </si>
  <si>
    <t>UK</t>
  </si>
  <si>
    <t>Russia</t>
  </si>
  <si>
    <t>France</t>
  </si>
  <si>
    <t>Germany</t>
  </si>
  <si>
    <t>Italy</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</si>
  <si>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</si>
  <si>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</si>
  <si>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</si>
  <si>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</si>
  <si>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</si>
  <si>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</si>
  <si>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</si>
  <si>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</si>
  <si>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</si>
  <si>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</si>
  <si>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</si>
  <si>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</si>
  <si>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</si>
  <si>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</si>
  <si>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</si>
  <si>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</si>
  <si>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</si>
  <si>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</si>
  <si>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</si>
  <si>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</si>
  <si>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</si>
  <si>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</si>
  <si>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</si>
  <si>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</si>
  <si>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</si>
  <si>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</si>
  <si>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</si>
  <si>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</si>
  <si>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</si>
  <si>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</si>
  <si>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</si>
  <si>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</si>
  <si>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</si>
  <si>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</si>
  <si>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</si>
  <si>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</si>
  <si>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</si>
  <si>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</si>
  <si>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</si>
  <si>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</si>
  <si>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</si>
  <si>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</si>
  <si>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</si>
  <si>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</si>
  <si>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</si>
  <si>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</si>
  <si>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</si>
  <si>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</si>
  <si>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</si>
  <si>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</si>
  <si>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</si>
  <si>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</si>
  <si>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</si>
  <si>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</si>
  <si>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</si>
  <si>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</si>
  <si>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</si>
  <si>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</si>
  <si>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</si>
  <si>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</si>
  <si>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</si>
  <si>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</si>
  <si>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</si>
  <si>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</si>
  <si>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</si>
  <si>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</si>
  <si>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</si>
  <si>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</si>
  <si>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</si>
  <si>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</si>
  <si>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</si>
  <si>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</si>
  <si>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</si>
  <si>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</si>
  <si>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</si>
  <si>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</si>
  <si>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</si>
  <si>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</si>
  <si>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</si>
  <si>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</si>
  <si>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</si>
  <si>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</si>
  <si>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</si>
  <si>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</si>
  <si>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</si>
  <si>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</si>
  <si>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</si>
  <si>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</si>
  <si>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</si>
  <si>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</si>
  <si>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</si>
  <si>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</si>
  <si>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</si>
  <si>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</si>
  <si>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</si>
  <si>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</si>
  <si>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</si>
  <si>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</si>
  <si>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</si>
  <si>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</si>
  <si>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</si>
  <si>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</si>
  <si>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</si>
  <si>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</si>
  <si>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</si>
  <si>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</si>
  <si>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</si>
  <si>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</si>
  <si>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</si>
  <si>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</si>
  <si>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</si>
  <si>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</si>
  <si>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</si>
  <si>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</si>
  <si>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</si>
  <si>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</si>
  <si>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</si>
  <si>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</si>
  <si>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</si>
  <si>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</si>
  <si>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</si>
  <si>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</si>
  <si>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</si>
  <si>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</si>
  <si>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</si>
  <si>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</si>
  <si>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</si>
  <si>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</si>
  <si>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</si>
  <si>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</si>
  <si>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</si>
  <si>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</si>
  <si>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</si>
  <si>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</si>
  <si>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</si>
  <si>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</si>
  <si>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</si>
  <si>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</si>
  <si>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</si>
  <si>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</si>
  <si>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</si>
  <si>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</si>
  <si>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</si>
  <si>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</si>
  <si>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</si>
  <si>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</si>
  <si>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</si>
  <si>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</si>
  <si>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</si>
  <si>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Active Cases</t>
  </si>
  <si>
    <t>Death Rate %</t>
  </si>
  <si>
    <t>Recovery Rate %</t>
  </si>
  <si>
    <t>New cases</t>
  </si>
  <si>
    <t>Row Labels</t>
  </si>
  <si>
    <t>Grand Total</t>
  </si>
  <si>
    <t>Total Cases</t>
  </si>
  <si>
    <t>Total Recovered</t>
  </si>
  <si>
    <t>Total Deaths</t>
  </si>
  <si>
    <t>total Cases</t>
  </si>
  <si>
    <t>Cases</t>
  </si>
  <si>
    <t>Death</t>
  </si>
  <si>
    <t>Sum of Active Cases</t>
  </si>
  <si>
    <t>Total Cases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</si>
</sst>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0;[Red]0"/>
    <numFmt numFmtId="173" formatCode="#,##0;[Red]#,##0"/>
  </numFmts>
  <fonts count="6" x14ac:knownFonts="1">
    <font>
      <sz val="11"/>
      <color theme="1"/>
      <name val="Calibri"/>
      <family val="2"/>
      <scheme val="minor"/>
    </font>
    <font>
      <sz val="18"/>
      <color theme="3"/>
      <name val="Cambria"/>
      <family val="2"/>
      <scheme val="major"/>
    </font>
    <font>
      <b/>
      <sz val="13"/>
      <color theme="3"/>
      <name val="Calibri"/>
      <family val="2"/>
      <scheme val="minor"/>
    </font>
    <font>
      <b/>
      <sz val="11"/>
      <color theme="1"/>
      <name val="Calibri"/>
      <family val="2"/>
      <scheme val="minor"/>
    </font>
    <font>
      <sz val="16"/>
      <color theme="1"/>
      <name val="Cambria"/>
      <family val="2"/>
      <scheme val="major"/>
    </font>
    <font>
      <sz val="16"/>
      <color theme="1"/>
      <name val="Cambria"/>
      <family val="1"/>
      <scheme val="major"/>
    </font>
  </fonts>
  <fills count="5">
    <fill>
      <patternFill patternType="none"/>
    </fill>
    <fill>
      <patternFill patternType="gray125"/>
    </fill>
    <fill>
      <patternFill patternType="solid">
        <fgColor theme="3" tint="0.79998168889431442"/>
        <bgColor indexed="64"/>
      </patternFill>
    </fill>
    <fill>
      <patternFill patternType="solid">
        <fgColor theme="9"/>
        <bgColor indexed="64"/>
      </patternFill>
    </fill>
    <fill>
      <patternFill patternType="solid">
        <fgColor theme="0"/>
        <bgColor indexed="64"/>
      </patternFill>
    </fill>
  </fills>
  <borders count="3">
    <border>
      <left/>
      <right/>
      <top/>
      <bottom/>
      <diagonal/>
    </border>
    <border>
      <left/>
      <right/>
      <top/>
      <bottom style="thick">
        <color theme="4" tint="0.499984740745262"/>
      </bottom>
      <diagonal/>
    </border>
    <border>
      <left/>
      <right/>
      <top style="thick">
        <color theme="4" tint="0.499984740745262"/>
      </top>
      <bottom/>
      <diagonal/>
    </border>
  </borders>
  <cellStyleXfs count="3">
    <xf numFmtId="0" fontId="0" fillId="0" borderId="0"/>
    <xf numFmtId="0" fontId="1" fillId="0" borderId="0" applyNumberFormat="0" applyFill="0" applyBorder="0" applyAlignment="0" applyProtection="0"/>
    <xf numFmtId="0" fontId="2" fillId="0" borderId="1" applyNumberFormat="0" applyFill="0" applyAlignment="0" applyProtection="0"/>
  </cellStyleXfs>
  <cellXfs count="26">
    <xf numFmtId="0" fontId="0" fillId="0" borderId="0" xfId="0"/>
    <xf numFmtId="14" fontId="0" fillId="0" borderId="0" xfId="0" applyNumberFormat="1"/>
    <xf numFmtId="11" fontId="0" fillId="0" borderId="0" xfId="0" applyNumberFormat="1"/>
    <xf numFmtId="171" fontId="0" fillId="0" borderId="0" xfId="0" applyNumberFormat="1"/>
    <xf numFmtId="14" fontId="0" fillId="0" borderId="0" xfId="0" applyNumberFormat="1" applyAlignment="1">
      <alignment horizontal="center"/>
    </xf>
    <xf numFmtId="14"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xf>
    <xf numFmtId="11" fontId="3" fillId="0" borderId="0" xfId="0" applyNumberFormat="1" applyFont="1" applyAlignment="1">
      <alignment horizontal="center" vertical="center"/>
    </xf>
    <xf numFmtId="2" fontId="3" fillId="0" borderId="0" xfId="0" applyNumberFormat="1" applyFont="1" applyAlignment="1">
      <alignment horizontal="center" vertical="center"/>
    </xf>
    <xf numFmtId="2" fontId="0" fillId="0" borderId="0" xfId="0" applyNumberFormat="1" applyAlignment="1">
      <alignment horizontal="center"/>
    </xf>
    <xf numFmtId="14" fontId="3" fillId="0" borderId="0" xfId="0" applyNumberFormat="1" applyFont="1" applyAlignment="1">
      <alignment horizontal="center"/>
    </xf>
    <xf numFmtId="0" fontId="3" fillId="0" borderId="0" xfId="0" applyFont="1"/>
    <xf numFmtId="0" fontId="0" fillId="0" borderId="0" xfId="0" pivotButton="1"/>
    <xf numFmtId="0" fontId="0" fillId="0" borderId="0" xfId="0" applyAlignment="1">
      <alignment horizontal="left"/>
    </xf>
    <xf numFmtId="3" fontId="0" fillId="0" borderId="0" xfId="0" applyNumberFormat="1"/>
    <xf numFmtId="3" fontId="0" fillId="0" borderId="0" xfId="0" applyNumberFormat="1" applyAlignment="1">
      <alignment horizontal="center"/>
    </xf>
    <xf numFmtId="0" fontId="2" fillId="2" borderId="1" xfId="2" applyFill="1" applyAlignment="1">
      <alignment horizontal="center"/>
    </xf>
    <xf numFmtId="0" fontId="0" fillId="4" borderId="0" xfId="0" applyFill="1" applyAlignment="1">
      <alignment horizontal="center"/>
    </xf>
    <xf numFmtId="3" fontId="0" fillId="4" borderId="0" xfId="0" applyNumberFormat="1" applyFill="1" applyAlignment="1">
      <alignment horizontal="center"/>
    </xf>
    <xf numFmtId="0" fontId="4" fillId="3" borderId="0" xfId="1" applyFont="1" applyFill="1" applyAlignment="1">
      <alignment horizontal="center"/>
    </xf>
    <xf numFmtId="173" fontId="0" fillId="0" borderId="0" xfId="0" applyNumberFormat="1"/>
    <xf numFmtId="0" fontId="5" fillId="3" borderId="0" xfId="1" applyFont="1" applyFill="1" applyAlignment="1">
      <alignment horizontal="center"/>
    </xf>
    <xf numFmtId="3" fontId="0" fillId="0" borderId="2" xfId="0" applyNumberFormat="1" applyBorder="1" applyAlignment="1">
      <alignment horizontal="center"/>
    </xf>
  </cellXfs>
  <cellStyles count="3">
    <cellStyle name="Heading 2" xfId="2" builtinId="17"/>
    <cellStyle name="Normal" xfId="0" builtinId="0"/>
    <cellStyle name="Title" xfId="1" builtinId="15"/>
  </cellStyles>
  <dxfs count="0"/>
  <tableStyles count="0" defaultTableStyle="TableStyleMedium9" defaultPivotStyle="PivotStyleLight16"/>
  <colors>
    <mruColors>
      <color rgb="FFFE7A7A"/>
      <color rgb="FFEDF67E"/>
      <color rgb="FF83EC80"/>
      <color rgb="FF7FD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[COVID19_Worldwide_Data_Analysis.xlsx]Active Cases Trend!PivotTable13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Cases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'Active Cases Trend'!$B$3</c:f>
              <c:strCache>
                <c:ptCount val="1"/>
                <c:pt idx="0">
                  <c:v>Total</c:v>
                </c:pt>
              </c:strCache>
            </c:strRef>
          </c:tx>
          <c:spPr>
            <a:solidFill>
              <a:schemeClr val="accent1"/>
            </a:solidFill>
            <a:ln>
              <a:noFill/>
            </a:ln>
            <a:effectLst/>
          </c:spPr>
          <c:cat>
            <c:strRef>
              <c:f>'Active Cases Trend'!$A$4:$A$154</c:f>
              <c:strCache>
                <c:ptCount val="15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pt idx="90">
                  <c:v>2021-04-01</c:v>
                </c:pt>
                <c:pt idx="91">
                  <c:v>2021-04-02</c:v>
                </c:pt>
                <c:pt idx="92">
                  <c:v>2021-04-03</c:v>
                </c:pt>
                <c:pt idx="93">
                  <c:v>2021-04-04</c:v>
                </c:pt>
                <c:pt idx="94">
                  <c:v>2021-04-05</c:v>
                </c:pt>
                <c:pt idx="95">
                  <c:v>2021-04-06</c:v>
                </c:pt>
                <c:pt idx="96">
                  <c:v>2021-04-07</c:v>
                </c:pt>
                <c:pt idx="97">
                  <c:v>2021-04-08</c:v>
                </c:pt>
                <c:pt idx="98">
                  <c:v>2021-04-09</c:v>
                </c:pt>
                <c:pt idx="99">
                  <c:v>2021-04-10</c:v>
                </c:pt>
                <c:pt idx="100">
                  <c:v>2021-04-11</c:v>
                </c:pt>
                <c:pt idx="101">
                  <c:v>2021-04-12</c:v>
                </c:pt>
                <c:pt idx="102">
                  <c:v>2021-04-13</c:v>
                </c:pt>
                <c:pt idx="103">
                  <c:v>2021-04-14</c:v>
                </c:pt>
                <c:pt idx="104">
                  <c:v>2021-04-15</c:v>
                </c:pt>
                <c:pt idx="105">
                  <c:v>2021-04-16</c:v>
                </c:pt>
                <c:pt idx="106">
                  <c:v>2021-04-17</c:v>
                </c:pt>
                <c:pt idx="107">
                  <c:v>2021-04-18</c:v>
                </c:pt>
                <c:pt idx="108">
                  <c:v>2021-04-19</c:v>
                </c:pt>
                <c:pt idx="109">
                  <c:v>2021-04-20</c:v>
                </c:pt>
                <c:pt idx="110">
                  <c:v>2021-04-21</c:v>
                </c:pt>
                <c:pt idx="111">
                  <c:v>2021-04-22</c:v>
                </c:pt>
                <c:pt idx="112">
                  <c:v>2021-04-23</c:v>
                </c:pt>
                <c:pt idx="113">
                  <c:v>2021-04-24</c:v>
                </c:pt>
                <c:pt idx="114">
                  <c:v>2021-04-25</c:v>
                </c:pt>
                <c:pt idx="115">
                  <c:v>2021-04-26</c:v>
                </c:pt>
                <c:pt idx="116">
                  <c:v>2021-04-27</c:v>
                </c:pt>
                <c:pt idx="117">
                  <c:v>2021-04-28</c:v>
                </c:pt>
                <c:pt idx="118">
                  <c:v>2021-04-29</c:v>
                </c:pt>
                <c:pt idx="119">
                  <c:v>2021-04-30</c:v>
                </c:pt>
                <c:pt idx="120">
                  <c:v>2021-05-01</c:v>
                </c:pt>
                <c:pt idx="121">
                  <c:v>2021-05-02</c:v>
                </c:pt>
                <c:pt idx="122">
                  <c:v>2021-05-03</c:v>
                </c:pt>
                <c:pt idx="123">
                  <c:v>2021-05-04</c:v>
                </c:pt>
                <c:pt idx="124">
                  <c:v>2021-05-05</c:v>
                </c:pt>
                <c:pt idx="125">
                  <c:v>2021-05-06</c:v>
                </c:pt>
                <c:pt idx="126">
                  <c:v>2021-05-07</c:v>
                </c:pt>
                <c:pt idx="127">
                  <c:v>2021-05-08</c:v>
                </c:pt>
                <c:pt idx="128">
                  <c:v>2021-05-09</c:v>
                </c:pt>
                <c:pt idx="129">
                  <c:v>2021-05-10</c:v>
                </c:pt>
                <c:pt idx="130">
                  <c:v>2021-05-11</c:v>
                </c:pt>
                <c:pt idx="131">
                  <c:v>2021-05-12</c:v>
                </c:pt>
                <c:pt idx="132">
                  <c:v>2021-05-13</c:v>
                </c:pt>
                <c:pt idx="133">
                  <c:v>2021-05-14</c:v>
                </c:pt>
                <c:pt idx="134">
                  <c:v>2021-05-15</c:v>
                </c:pt>
                <c:pt idx="135">
                  <c:v>2021-05-16</c:v>
                </c:pt>
                <c:pt idx="136">
                  <c:v>2021-05-17</c:v>
                </c:pt>
                <c:pt idx="137">
                  <c:v>2021-05-18</c:v>
                </c:pt>
                <c:pt idx="138">
                  <c:v>2021-05-19</c:v>
                </c:pt>
                <c:pt idx="139">
                  <c:v>2021-05-20</c:v>
                </c:pt>
                <c:pt idx="140">
                  <c:v>2021-05-21</c:v>
                </c:pt>
                <c:pt idx="141">
                  <c:v>2021-05-22</c:v>
                </c:pt>
                <c:pt idx="142">
                  <c:v>2021-05-23</c:v>
                </c:pt>
                <c:pt idx="143">
                  <c:v>2021-05-24</c:v>
                </c:pt>
                <c:pt idx="144">
                  <c:v>2021-05-25</c:v>
                </c:pt>
                <c:pt idx="145">
                  <c:v>2021-05-26</c:v>
                </c:pt>
                <c:pt idx="146">
                  <c:v>2021-05-27</c:v>
                </c:pt>
                <c:pt idx="147">
                  <c:v>2021-05-28</c:v>
                </c:pt>
                <c:pt idx="148">
                  <c:v>2021-05-29</c:v>
                </c:pt>
                <c:pt idx="149">
                  <c:v>2021-05-30</c:v>
                </c:pt>
              </c:strCache>
            </c:strRef>
          </c:cat>
          <c:val>
            <c:numRef>
              <c:f>'Active Cases Trend'!$B$4:$B$154</c:f>
              <c:numCache>
                <c:formatCode>0;[Red]0</c:formatCode>
                <c:ptCount val="150"/>
                <c:pt idx="0">
                  <c:v>9131656</c:v>
                </c:pt>
                <c:pt idx="1">
                  <c:v>8961902</c:v>
                </c:pt>
                <c:pt idx="2">
                  <c:v>10128459</c:v>
                </c:pt>
                <c:pt idx="3">
                  <c:v>8167572</c:v>
                </c:pt>
                <c:pt idx="4">
                  <c:v>10750412</c:v>
                </c:pt>
                <c:pt idx="5">
                  <c:v>8810077</c:v>
                </c:pt>
                <c:pt idx="6">
                  <c:v>11035844</c:v>
                </c:pt>
                <c:pt idx="7">
                  <c:v>7931372</c:v>
                </c:pt>
                <c:pt idx="8">
                  <c:v>10608551</c:v>
                </c:pt>
                <c:pt idx="9">
                  <c:v>10757220</c:v>
                </c:pt>
                <c:pt idx="10">
                  <c:v>10079705</c:v>
                </c:pt>
                <c:pt idx="11">
                  <c:v>11980834</c:v>
                </c:pt>
                <c:pt idx="12">
                  <c:v>12059330</c:v>
                </c:pt>
                <c:pt idx="13">
                  <c:v>9960674</c:v>
                </c:pt>
                <c:pt idx="14">
                  <c:v>11689827</c:v>
                </c:pt>
                <c:pt idx="15">
                  <c:v>12168990</c:v>
                </c:pt>
                <c:pt idx="16">
                  <c:v>11681430</c:v>
                </c:pt>
                <c:pt idx="17">
                  <c:v>13812825</c:v>
                </c:pt>
                <c:pt idx="18">
                  <c:v>16637265</c:v>
                </c:pt>
                <c:pt idx="19">
                  <c:v>24745332</c:v>
                </c:pt>
                <c:pt idx="20">
                  <c:v>25924698</c:v>
                </c:pt>
                <c:pt idx="21">
                  <c:v>20936939</c:v>
                </c:pt>
                <c:pt idx="22">
                  <c:v>27719400</c:v>
                </c:pt>
                <c:pt idx="23">
                  <c:v>21614108</c:v>
                </c:pt>
                <c:pt idx="24">
                  <c:v>23514919</c:v>
                </c:pt>
                <c:pt idx="25">
                  <c:v>20965765</c:v>
                </c:pt>
                <c:pt idx="26">
                  <c:v>25353968</c:v>
                </c:pt>
                <c:pt idx="27">
                  <c:v>25414866</c:v>
                </c:pt>
                <c:pt idx="28">
                  <c:v>19769576</c:v>
                </c:pt>
                <c:pt idx="29">
                  <c:v>21035254</c:v>
                </c:pt>
                <c:pt idx="30">
                  <c:v>22939730</c:v>
                </c:pt>
                <c:pt idx="31">
                  <c:v>24961787</c:v>
                </c:pt>
                <c:pt idx="32">
                  <c:v>27867556</c:v>
                </c:pt>
                <c:pt idx="33">
                  <c:v>27091896</c:v>
                </c:pt>
                <c:pt idx="34">
                  <c:v>28350350</c:v>
                </c:pt>
                <c:pt idx="35">
                  <c:v>25820216</c:v>
                </c:pt>
                <c:pt idx="36">
                  <c:v>21153988</c:v>
                </c:pt>
                <c:pt idx="37">
                  <c:v>27964168</c:v>
                </c:pt>
                <c:pt idx="38">
                  <c:v>19178177</c:v>
                </c:pt>
                <c:pt idx="39">
                  <c:v>17164850</c:v>
                </c:pt>
                <c:pt idx="40">
                  <c:v>21035933</c:v>
                </c:pt>
                <c:pt idx="41">
                  <c:v>16374767</c:v>
                </c:pt>
                <c:pt idx="42">
                  <c:v>20612253</c:v>
                </c:pt>
                <c:pt idx="43">
                  <c:v>21899950</c:v>
                </c:pt>
                <c:pt idx="44">
                  <c:v>21098758</c:v>
                </c:pt>
                <c:pt idx="45">
                  <c:v>24404057</c:v>
                </c:pt>
                <c:pt idx="46">
                  <c:v>22384434</c:v>
                </c:pt>
                <c:pt idx="47">
                  <c:v>26751447</c:v>
                </c:pt>
                <c:pt idx="48">
                  <c:v>19160412</c:v>
                </c:pt>
                <c:pt idx="49">
                  <c:v>26681663</c:v>
                </c:pt>
                <c:pt idx="50">
                  <c:v>27911226</c:v>
                </c:pt>
                <c:pt idx="51">
                  <c:v>25947648</c:v>
                </c:pt>
                <c:pt idx="52">
                  <c:v>25261227</c:v>
                </c:pt>
                <c:pt idx="53">
                  <c:v>28334280</c:v>
                </c:pt>
                <c:pt idx="54">
                  <c:v>21239651</c:v>
                </c:pt>
                <c:pt idx="55">
                  <c:v>26957981</c:v>
                </c:pt>
                <c:pt idx="56">
                  <c:v>20522630</c:v>
                </c:pt>
                <c:pt idx="57">
                  <c:v>21343302</c:v>
                </c:pt>
                <c:pt idx="58">
                  <c:v>23807929</c:v>
                </c:pt>
                <c:pt idx="59">
                  <c:v>19093806</c:v>
                </c:pt>
                <c:pt idx="60">
                  <c:v>21517167</c:v>
                </c:pt>
                <c:pt idx="61">
                  <c:v>26218741</c:v>
                </c:pt>
                <c:pt idx="62">
                  <c:v>23131025</c:v>
                </c:pt>
                <c:pt idx="63">
                  <c:v>24679623</c:v>
                </c:pt>
                <c:pt idx="64">
                  <c:v>22207284</c:v>
                </c:pt>
                <c:pt idx="65">
                  <c:v>26157187</c:v>
                </c:pt>
                <c:pt idx="66">
                  <c:v>25865884</c:v>
                </c:pt>
                <c:pt idx="67">
                  <c:v>23638604</c:v>
                </c:pt>
                <c:pt idx="68">
                  <c:v>30917912</c:v>
                </c:pt>
                <c:pt idx="69">
                  <c:v>29411902</c:v>
                </c:pt>
                <c:pt idx="70">
                  <c:v>22425274</c:v>
                </c:pt>
                <c:pt idx="71">
                  <c:v>29073245</c:v>
                </c:pt>
                <c:pt idx="72">
                  <c:v>26350465</c:v>
                </c:pt>
                <c:pt idx="73">
                  <c:v>24838764</c:v>
                </c:pt>
                <c:pt idx="74">
                  <c:v>36802030</c:v>
                </c:pt>
                <c:pt idx="75">
                  <c:v>26940643</c:v>
                </c:pt>
                <c:pt idx="76">
                  <c:v>24448289</c:v>
                </c:pt>
                <c:pt idx="77">
                  <c:v>20732422</c:v>
                </c:pt>
                <c:pt idx="78">
                  <c:v>21003947</c:v>
                </c:pt>
                <c:pt idx="79">
                  <c:v>25958997</c:v>
                </c:pt>
                <c:pt idx="80">
                  <c:v>28271986</c:v>
                </c:pt>
                <c:pt idx="81">
                  <c:v>26469630</c:v>
                </c:pt>
                <c:pt idx="82">
                  <c:v>26396673</c:v>
                </c:pt>
                <c:pt idx="83">
                  <c:v>30148686</c:v>
                </c:pt>
                <c:pt idx="84">
                  <c:v>25080551</c:v>
                </c:pt>
                <c:pt idx="85">
                  <c:v>28760954</c:v>
                </c:pt>
                <c:pt idx="86">
                  <c:v>25045426</c:v>
                </c:pt>
                <c:pt idx="87">
                  <c:v>30221630</c:v>
                </c:pt>
                <c:pt idx="88">
                  <c:v>28198054</c:v>
                </c:pt>
                <c:pt idx="89">
                  <c:v>28562653</c:v>
                </c:pt>
                <c:pt idx="90">
                  <c:v>34030314</c:v>
                </c:pt>
                <c:pt idx="91">
                  <c:v>30162051</c:v>
                </c:pt>
                <c:pt idx="92">
                  <c:v>31448613</c:v>
                </c:pt>
                <c:pt idx="93">
                  <c:v>26263390</c:v>
                </c:pt>
                <c:pt idx="94">
                  <c:v>11375342</c:v>
                </c:pt>
                <c:pt idx="95">
                  <c:v>11849045</c:v>
                </c:pt>
                <c:pt idx="96">
                  <c:v>13579792</c:v>
                </c:pt>
                <c:pt idx="97">
                  <c:v>13029324</c:v>
                </c:pt>
                <c:pt idx="98">
                  <c:v>10675155</c:v>
                </c:pt>
                <c:pt idx="99">
                  <c:v>12106628</c:v>
                </c:pt>
                <c:pt idx="100">
                  <c:v>11446660</c:v>
                </c:pt>
                <c:pt idx="101">
                  <c:v>14413288</c:v>
                </c:pt>
                <c:pt idx="102">
                  <c:v>11653269</c:v>
                </c:pt>
                <c:pt idx="103">
                  <c:v>11995763</c:v>
                </c:pt>
                <c:pt idx="104">
                  <c:v>16491650</c:v>
                </c:pt>
                <c:pt idx="105">
                  <c:v>10994950</c:v>
                </c:pt>
                <c:pt idx="106">
                  <c:v>16481973</c:v>
                </c:pt>
                <c:pt idx="107">
                  <c:v>14525008</c:v>
                </c:pt>
                <c:pt idx="108">
                  <c:v>17650849</c:v>
                </c:pt>
                <c:pt idx="109">
                  <c:v>15048743</c:v>
                </c:pt>
                <c:pt idx="110">
                  <c:v>15072897</c:v>
                </c:pt>
                <c:pt idx="111">
                  <c:v>13612612</c:v>
                </c:pt>
                <c:pt idx="112">
                  <c:v>13933560</c:v>
                </c:pt>
                <c:pt idx="113">
                  <c:v>7493963</c:v>
                </c:pt>
                <c:pt idx="114">
                  <c:v>8244523</c:v>
                </c:pt>
                <c:pt idx="115">
                  <c:v>10808065</c:v>
                </c:pt>
                <c:pt idx="116">
                  <c:v>10486547</c:v>
                </c:pt>
                <c:pt idx="117">
                  <c:v>8805297</c:v>
                </c:pt>
                <c:pt idx="118">
                  <c:v>8965207</c:v>
                </c:pt>
                <c:pt idx="119">
                  <c:v>11272200</c:v>
                </c:pt>
                <c:pt idx="120">
                  <c:v>10405880</c:v>
                </c:pt>
                <c:pt idx="121">
                  <c:v>10758301</c:v>
                </c:pt>
                <c:pt idx="122">
                  <c:v>10927605</c:v>
                </c:pt>
                <c:pt idx="123">
                  <c:v>13906971</c:v>
                </c:pt>
                <c:pt idx="124">
                  <c:v>10104973</c:v>
                </c:pt>
                <c:pt idx="125">
                  <c:v>11048007</c:v>
                </c:pt>
                <c:pt idx="126">
                  <c:v>11434811</c:v>
                </c:pt>
                <c:pt idx="127">
                  <c:v>11776403</c:v>
                </c:pt>
                <c:pt idx="128">
                  <c:v>11824860</c:v>
                </c:pt>
                <c:pt idx="129">
                  <c:v>15898562</c:v>
                </c:pt>
                <c:pt idx="130">
                  <c:v>13609054</c:v>
                </c:pt>
                <c:pt idx="131">
                  <c:v>11623395</c:v>
                </c:pt>
                <c:pt idx="132">
                  <c:v>10546278</c:v>
                </c:pt>
                <c:pt idx="133">
                  <c:v>10790036</c:v>
                </c:pt>
                <c:pt idx="134">
                  <c:v>9768170</c:v>
                </c:pt>
                <c:pt idx="135">
                  <c:v>10846911</c:v>
                </c:pt>
                <c:pt idx="136">
                  <c:v>9516725</c:v>
                </c:pt>
                <c:pt idx="137">
                  <c:v>12050137</c:v>
                </c:pt>
                <c:pt idx="138">
                  <c:v>11382022</c:v>
                </c:pt>
                <c:pt idx="139">
                  <c:v>9532026</c:v>
                </c:pt>
                <c:pt idx="140">
                  <c:v>12708693</c:v>
                </c:pt>
                <c:pt idx="141">
                  <c:v>12693648</c:v>
                </c:pt>
                <c:pt idx="142">
                  <c:v>11257362</c:v>
                </c:pt>
                <c:pt idx="143">
                  <c:v>14919320</c:v>
                </c:pt>
                <c:pt idx="144">
                  <c:v>13882800</c:v>
                </c:pt>
                <c:pt idx="145">
                  <c:v>13708813</c:v>
                </c:pt>
                <c:pt idx="146">
                  <c:v>17458018</c:v>
                </c:pt>
                <c:pt idx="147">
                  <c:v>11598485</c:v>
                </c:pt>
                <c:pt idx="148">
                  <c:v>15644379</c:v>
                </c:pt>
                <c:pt idx="149">
                  <c:v>12841889</c:v>
                </c:pt>
              </c:numCache>
            </c:numRef>
          </c:val>
          <c:extLst>
            <c:ext xmlns:c16="http://schemas.microsoft.com/office/drawing/2014/chart" uri="{C3380CC4-5D6E-409C-BE32-E72D297353CC}">
              <c16:uniqueId val="{00000000-1A49-45C3-A8F7-2BC9F73304A9}"/>
            </c:ext>
          </c:extLst>
        </c:ser>
        <c:dLbls>
          <c:showLegendKey val="0"/>
          <c:showVal val="0"/>
          <c:showCatName val="0"/>
          <c:showSerName val="0"/>
          <c:showPercent val="0"/>
          <c:showBubbleSize val="0"/>
        </c:dLbls>
        <c:axId val="505008992"/>
        <c:axId val="505007552"/>
      </c:areaChart>
      <c:catAx>
        <c:axId val="50500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07552"/>
        <c:crosses val="autoZero"/>
        <c:auto val="1"/>
        <c:lblAlgn val="ctr"/>
        <c:lblOffset val="100"/>
        <c:noMultiLvlLbl val="0"/>
      </c:catAx>
      <c:valAx>
        <c:axId val="505007552"/>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08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[COVID19_Worldwide_Data_Analysis.xlsx]Pivot_Tables!Trend Over Time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Cases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Pivot_Tables!$E$4:$E$154</c:f>
              <c:strCache>
                <c:ptCount val="15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pt idx="90">
                  <c:v>2021-04-01</c:v>
                </c:pt>
                <c:pt idx="91">
                  <c:v>2021-04-02</c:v>
                </c:pt>
                <c:pt idx="92">
                  <c:v>2021-04-03</c:v>
                </c:pt>
                <c:pt idx="93">
                  <c:v>2021-04-04</c:v>
                </c:pt>
                <c:pt idx="94">
                  <c:v>2021-04-05</c:v>
                </c:pt>
                <c:pt idx="95">
                  <c:v>2021-04-06</c:v>
                </c:pt>
                <c:pt idx="96">
                  <c:v>2021-04-07</c:v>
                </c:pt>
                <c:pt idx="97">
                  <c:v>2021-04-08</c:v>
                </c:pt>
                <c:pt idx="98">
                  <c:v>2021-04-09</c:v>
                </c:pt>
                <c:pt idx="99">
                  <c:v>2021-04-10</c:v>
                </c:pt>
                <c:pt idx="100">
                  <c:v>2021-04-11</c:v>
                </c:pt>
                <c:pt idx="101">
                  <c:v>2021-04-12</c:v>
                </c:pt>
                <c:pt idx="102">
                  <c:v>2021-04-13</c:v>
                </c:pt>
                <c:pt idx="103">
                  <c:v>2021-04-14</c:v>
                </c:pt>
                <c:pt idx="104">
                  <c:v>2021-04-15</c:v>
                </c:pt>
                <c:pt idx="105">
                  <c:v>2021-04-16</c:v>
                </c:pt>
                <c:pt idx="106">
                  <c:v>2021-04-17</c:v>
                </c:pt>
                <c:pt idx="107">
                  <c:v>2021-04-18</c:v>
                </c:pt>
                <c:pt idx="108">
                  <c:v>2021-04-19</c:v>
                </c:pt>
                <c:pt idx="109">
                  <c:v>2021-04-20</c:v>
                </c:pt>
                <c:pt idx="110">
                  <c:v>2021-04-21</c:v>
                </c:pt>
                <c:pt idx="111">
                  <c:v>2021-04-22</c:v>
                </c:pt>
                <c:pt idx="112">
                  <c:v>2021-04-23</c:v>
                </c:pt>
                <c:pt idx="113">
                  <c:v>2021-04-24</c:v>
                </c:pt>
                <c:pt idx="114">
                  <c:v>2021-04-25</c:v>
                </c:pt>
                <c:pt idx="115">
                  <c:v>2021-04-26</c:v>
                </c:pt>
                <c:pt idx="116">
                  <c:v>2021-04-27</c:v>
                </c:pt>
                <c:pt idx="117">
                  <c:v>2021-04-28</c:v>
                </c:pt>
                <c:pt idx="118">
                  <c:v>2021-04-29</c:v>
                </c:pt>
                <c:pt idx="119">
                  <c:v>2021-04-30</c:v>
                </c:pt>
                <c:pt idx="120">
                  <c:v>2021-05-01</c:v>
                </c:pt>
                <c:pt idx="121">
                  <c:v>2021-05-02</c:v>
                </c:pt>
                <c:pt idx="122">
                  <c:v>2021-05-03</c:v>
                </c:pt>
                <c:pt idx="123">
                  <c:v>2021-05-04</c:v>
                </c:pt>
                <c:pt idx="124">
                  <c:v>2021-05-05</c:v>
                </c:pt>
                <c:pt idx="125">
                  <c:v>2021-05-06</c:v>
                </c:pt>
                <c:pt idx="126">
                  <c:v>2021-05-07</c:v>
                </c:pt>
                <c:pt idx="127">
                  <c:v>2021-05-08</c:v>
                </c:pt>
                <c:pt idx="128">
                  <c:v>2021-05-09</c:v>
                </c:pt>
                <c:pt idx="129">
                  <c:v>2021-05-10</c:v>
                </c:pt>
                <c:pt idx="130">
                  <c:v>2021-05-11</c:v>
                </c:pt>
                <c:pt idx="131">
                  <c:v>2021-05-12</c:v>
                </c:pt>
                <c:pt idx="132">
                  <c:v>2021-05-13</c:v>
                </c:pt>
                <c:pt idx="133">
                  <c:v>2021-05-14</c:v>
                </c:pt>
                <c:pt idx="134">
                  <c:v>2021-05-15</c:v>
                </c:pt>
                <c:pt idx="135">
                  <c:v>2021-05-16</c:v>
                </c:pt>
                <c:pt idx="136">
                  <c:v>2021-05-17</c:v>
                </c:pt>
                <c:pt idx="137">
                  <c:v>2021-05-18</c:v>
                </c:pt>
                <c:pt idx="138">
                  <c:v>2021-05-19</c:v>
                </c:pt>
                <c:pt idx="139">
                  <c:v>2021-05-20</c:v>
                </c:pt>
                <c:pt idx="140">
                  <c:v>2021-05-21</c:v>
                </c:pt>
                <c:pt idx="141">
                  <c:v>2021-05-22</c:v>
                </c:pt>
                <c:pt idx="142">
                  <c:v>2021-05-23</c:v>
                </c:pt>
                <c:pt idx="143">
                  <c:v>2021-05-24</c:v>
                </c:pt>
                <c:pt idx="144">
                  <c:v>2021-05-25</c:v>
                </c:pt>
                <c:pt idx="145">
                  <c:v>2021-05-26</c:v>
                </c:pt>
                <c:pt idx="146">
                  <c:v>2021-05-27</c:v>
                </c:pt>
                <c:pt idx="147">
                  <c:v>2021-05-28</c:v>
                </c:pt>
                <c:pt idx="148">
                  <c:v>2021-05-29</c:v>
                </c:pt>
                <c:pt idx="149">
                  <c:v>2021-05-30</c:v>
                </c:pt>
              </c:strCache>
            </c:strRef>
          </c:cat>
          <c:val>
            <c:numRef>
              <c:f>Pivot_Tables!$F$4:$F$154</c:f>
              <c:numCache>
                <c:formatCode>#,##0</c:formatCode>
                <c:ptCount val="150"/>
                <c:pt idx="0">
                  <c:v>45196084</c:v>
                </c:pt>
                <c:pt idx="1">
                  <c:v>47044256</c:v>
                </c:pt>
                <c:pt idx="2">
                  <c:v>48793848</c:v>
                </c:pt>
                <c:pt idx="3">
                  <c:v>50505089</c:v>
                </c:pt>
                <c:pt idx="4">
                  <c:v>52413630</c:v>
                </c:pt>
                <c:pt idx="5">
                  <c:v>53883503</c:v>
                </c:pt>
                <c:pt idx="6">
                  <c:v>55314601</c:v>
                </c:pt>
                <c:pt idx="7">
                  <c:v>57116660</c:v>
                </c:pt>
                <c:pt idx="8">
                  <c:v>59225328</c:v>
                </c:pt>
                <c:pt idx="9">
                  <c:v>60699859</c:v>
                </c:pt>
                <c:pt idx="10">
                  <c:v>62494940</c:v>
                </c:pt>
                <c:pt idx="11">
                  <c:v>63675178</c:v>
                </c:pt>
                <c:pt idx="12">
                  <c:v>65178461</c:v>
                </c:pt>
                <c:pt idx="13">
                  <c:v>66594192</c:v>
                </c:pt>
                <c:pt idx="14">
                  <c:v>68163568</c:v>
                </c:pt>
                <c:pt idx="15">
                  <c:v>69442166</c:v>
                </c:pt>
                <c:pt idx="16">
                  <c:v>71065225</c:v>
                </c:pt>
                <c:pt idx="17">
                  <c:v>73056593</c:v>
                </c:pt>
                <c:pt idx="18">
                  <c:v>86756458</c:v>
                </c:pt>
                <c:pt idx="19">
                  <c:v>126310784</c:v>
                </c:pt>
                <c:pt idx="20">
                  <c:v>128062550</c:v>
                </c:pt>
                <c:pt idx="21">
                  <c:v>129558773</c:v>
                </c:pt>
                <c:pt idx="22">
                  <c:v>130933080</c:v>
                </c:pt>
                <c:pt idx="23">
                  <c:v>132152055</c:v>
                </c:pt>
                <c:pt idx="24">
                  <c:v>133588230</c:v>
                </c:pt>
                <c:pt idx="25">
                  <c:v>134983762</c:v>
                </c:pt>
                <c:pt idx="26">
                  <c:v>136477808</c:v>
                </c:pt>
                <c:pt idx="27">
                  <c:v>137692529</c:v>
                </c:pt>
                <c:pt idx="28">
                  <c:v>139490315</c:v>
                </c:pt>
                <c:pt idx="29">
                  <c:v>141085138</c:v>
                </c:pt>
                <c:pt idx="30">
                  <c:v>142767495</c:v>
                </c:pt>
                <c:pt idx="31">
                  <c:v>144341242</c:v>
                </c:pt>
                <c:pt idx="32">
                  <c:v>145523643</c:v>
                </c:pt>
                <c:pt idx="33">
                  <c:v>146382993</c:v>
                </c:pt>
                <c:pt idx="34">
                  <c:v>147904705</c:v>
                </c:pt>
                <c:pt idx="35">
                  <c:v>149387575</c:v>
                </c:pt>
                <c:pt idx="36">
                  <c:v>151130279</c:v>
                </c:pt>
                <c:pt idx="37">
                  <c:v>130821880</c:v>
                </c:pt>
                <c:pt idx="38">
                  <c:v>110424840</c:v>
                </c:pt>
                <c:pt idx="39">
                  <c:v>112170577</c:v>
                </c:pt>
                <c:pt idx="40">
                  <c:v>114106469</c:v>
                </c:pt>
                <c:pt idx="41">
                  <c:v>115716154</c:v>
                </c:pt>
                <c:pt idx="42">
                  <c:v>117895120</c:v>
                </c:pt>
                <c:pt idx="43">
                  <c:v>119448337</c:v>
                </c:pt>
                <c:pt idx="44">
                  <c:v>121161679</c:v>
                </c:pt>
                <c:pt idx="45">
                  <c:v>123075286</c:v>
                </c:pt>
                <c:pt idx="46">
                  <c:v>124741458</c:v>
                </c:pt>
                <c:pt idx="47">
                  <c:v>126199659</c:v>
                </c:pt>
                <c:pt idx="48">
                  <c:v>127396557</c:v>
                </c:pt>
                <c:pt idx="49">
                  <c:v>129060259</c:v>
                </c:pt>
                <c:pt idx="50">
                  <c:v>130820324</c:v>
                </c:pt>
                <c:pt idx="51">
                  <c:v>132206524</c:v>
                </c:pt>
                <c:pt idx="52">
                  <c:v>133858464</c:v>
                </c:pt>
                <c:pt idx="53">
                  <c:v>135315170</c:v>
                </c:pt>
                <c:pt idx="54">
                  <c:v>136602384</c:v>
                </c:pt>
                <c:pt idx="55">
                  <c:v>138079373</c:v>
                </c:pt>
                <c:pt idx="56">
                  <c:v>131041268</c:v>
                </c:pt>
                <c:pt idx="57">
                  <c:v>129808743</c:v>
                </c:pt>
                <c:pt idx="58">
                  <c:v>131270822</c:v>
                </c:pt>
                <c:pt idx="59">
                  <c:v>132540650</c:v>
                </c:pt>
                <c:pt idx="60">
                  <c:v>134357841</c:v>
                </c:pt>
                <c:pt idx="61">
                  <c:v>135775848</c:v>
                </c:pt>
                <c:pt idx="62">
                  <c:v>136783243</c:v>
                </c:pt>
                <c:pt idx="63">
                  <c:v>138318013</c:v>
                </c:pt>
                <c:pt idx="64">
                  <c:v>140004342</c:v>
                </c:pt>
                <c:pt idx="65">
                  <c:v>141487621</c:v>
                </c:pt>
                <c:pt idx="66">
                  <c:v>143621553</c:v>
                </c:pt>
                <c:pt idx="67">
                  <c:v>145239878</c:v>
                </c:pt>
                <c:pt idx="68">
                  <c:v>146516802</c:v>
                </c:pt>
                <c:pt idx="69">
                  <c:v>147924636</c:v>
                </c:pt>
                <c:pt idx="70">
                  <c:v>149180788</c:v>
                </c:pt>
                <c:pt idx="71">
                  <c:v>150611016</c:v>
                </c:pt>
                <c:pt idx="72">
                  <c:v>152271407</c:v>
                </c:pt>
                <c:pt idx="73">
                  <c:v>154156555</c:v>
                </c:pt>
                <c:pt idx="74">
                  <c:v>156026144</c:v>
                </c:pt>
                <c:pt idx="75">
                  <c:v>132659647</c:v>
                </c:pt>
                <c:pt idx="76">
                  <c:v>134560875</c:v>
                </c:pt>
                <c:pt idx="77">
                  <c:v>136206483</c:v>
                </c:pt>
                <c:pt idx="78">
                  <c:v>138200146</c:v>
                </c:pt>
                <c:pt idx="79">
                  <c:v>140096164</c:v>
                </c:pt>
                <c:pt idx="80">
                  <c:v>141484556</c:v>
                </c:pt>
                <c:pt idx="81">
                  <c:v>143242591</c:v>
                </c:pt>
                <c:pt idx="82">
                  <c:v>145212394</c:v>
                </c:pt>
                <c:pt idx="83">
                  <c:v>146806371</c:v>
                </c:pt>
                <c:pt idx="84">
                  <c:v>148760563</c:v>
                </c:pt>
                <c:pt idx="85">
                  <c:v>150864817</c:v>
                </c:pt>
                <c:pt idx="86">
                  <c:v>152271891</c:v>
                </c:pt>
                <c:pt idx="87">
                  <c:v>154040316</c:v>
                </c:pt>
                <c:pt idx="88">
                  <c:v>155684224</c:v>
                </c:pt>
                <c:pt idx="89">
                  <c:v>157489206</c:v>
                </c:pt>
                <c:pt idx="90">
                  <c:v>159388046</c:v>
                </c:pt>
                <c:pt idx="91">
                  <c:v>160910766</c:v>
                </c:pt>
                <c:pt idx="92">
                  <c:v>162921396</c:v>
                </c:pt>
                <c:pt idx="93">
                  <c:v>138997728</c:v>
                </c:pt>
                <c:pt idx="94">
                  <c:v>63199409</c:v>
                </c:pt>
                <c:pt idx="95">
                  <c:v>65000068</c:v>
                </c:pt>
                <c:pt idx="96">
                  <c:v>66660373</c:v>
                </c:pt>
                <c:pt idx="97">
                  <c:v>68554518</c:v>
                </c:pt>
                <c:pt idx="98">
                  <c:v>70260461</c:v>
                </c:pt>
                <c:pt idx="99">
                  <c:v>72091745</c:v>
                </c:pt>
                <c:pt idx="100">
                  <c:v>73706084</c:v>
                </c:pt>
                <c:pt idx="101">
                  <c:v>75332134</c:v>
                </c:pt>
                <c:pt idx="102">
                  <c:v>77064696</c:v>
                </c:pt>
                <c:pt idx="103">
                  <c:v>78977484</c:v>
                </c:pt>
                <c:pt idx="104">
                  <c:v>81122624</c:v>
                </c:pt>
                <c:pt idx="105">
                  <c:v>82575873</c:v>
                </c:pt>
                <c:pt idx="106">
                  <c:v>83762320</c:v>
                </c:pt>
                <c:pt idx="107">
                  <c:v>85717234</c:v>
                </c:pt>
                <c:pt idx="108">
                  <c:v>87100665</c:v>
                </c:pt>
                <c:pt idx="109">
                  <c:v>88722103</c:v>
                </c:pt>
                <c:pt idx="110">
                  <c:v>90679780</c:v>
                </c:pt>
                <c:pt idx="111">
                  <c:v>92467373</c:v>
                </c:pt>
                <c:pt idx="112">
                  <c:v>70296876</c:v>
                </c:pt>
                <c:pt idx="113">
                  <c:v>48221136</c:v>
                </c:pt>
                <c:pt idx="114">
                  <c:v>50268015</c:v>
                </c:pt>
                <c:pt idx="115">
                  <c:v>52060538</c:v>
                </c:pt>
                <c:pt idx="116">
                  <c:v>54053900</c:v>
                </c:pt>
                <c:pt idx="117">
                  <c:v>55549203</c:v>
                </c:pt>
                <c:pt idx="118">
                  <c:v>56767150</c:v>
                </c:pt>
                <c:pt idx="119">
                  <c:v>58670743</c:v>
                </c:pt>
                <c:pt idx="120">
                  <c:v>60405357</c:v>
                </c:pt>
                <c:pt idx="121">
                  <c:v>61962968</c:v>
                </c:pt>
                <c:pt idx="122">
                  <c:v>63239338</c:v>
                </c:pt>
                <c:pt idx="123">
                  <c:v>64525883</c:v>
                </c:pt>
                <c:pt idx="124">
                  <c:v>65528715</c:v>
                </c:pt>
                <c:pt idx="125">
                  <c:v>66628738</c:v>
                </c:pt>
                <c:pt idx="126">
                  <c:v>68065495</c:v>
                </c:pt>
                <c:pt idx="127">
                  <c:v>69781980</c:v>
                </c:pt>
                <c:pt idx="128">
                  <c:v>71644519</c:v>
                </c:pt>
                <c:pt idx="129">
                  <c:v>73279363</c:v>
                </c:pt>
                <c:pt idx="130">
                  <c:v>74745549</c:v>
                </c:pt>
                <c:pt idx="131">
                  <c:v>60354849</c:v>
                </c:pt>
                <c:pt idx="132">
                  <c:v>56616597</c:v>
                </c:pt>
                <c:pt idx="133">
                  <c:v>57919530</c:v>
                </c:pt>
                <c:pt idx="134">
                  <c:v>59392601</c:v>
                </c:pt>
                <c:pt idx="135">
                  <c:v>60938334</c:v>
                </c:pt>
                <c:pt idx="136">
                  <c:v>62936041</c:v>
                </c:pt>
                <c:pt idx="137">
                  <c:v>64803311</c:v>
                </c:pt>
                <c:pt idx="138">
                  <c:v>66414582</c:v>
                </c:pt>
                <c:pt idx="139">
                  <c:v>67708002</c:v>
                </c:pt>
                <c:pt idx="140">
                  <c:v>69252593</c:v>
                </c:pt>
                <c:pt idx="141">
                  <c:v>71221026</c:v>
                </c:pt>
                <c:pt idx="142">
                  <c:v>72894499</c:v>
                </c:pt>
                <c:pt idx="143">
                  <c:v>74550689</c:v>
                </c:pt>
                <c:pt idx="144">
                  <c:v>76035803</c:v>
                </c:pt>
                <c:pt idx="145">
                  <c:v>77123381</c:v>
                </c:pt>
                <c:pt idx="146">
                  <c:v>78301778</c:v>
                </c:pt>
                <c:pt idx="147">
                  <c:v>79678460</c:v>
                </c:pt>
                <c:pt idx="148">
                  <c:v>81224963</c:v>
                </c:pt>
                <c:pt idx="149">
                  <c:v>82752858</c:v>
                </c:pt>
              </c:numCache>
            </c:numRef>
          </c:val>
          <c:smooth val="0"/>
          <c:extLst>
            <c:ext xmlns:c16="http://schemas.microsoft.com/office/drawing/2014/chart" uri="{C3380CC4-5D6E-409C-BE32-E72D297353CC}">
              <c16:uniqueId val="{00000000-AD6F-4953-8DA2-5F5AF0B2A735}"/>
            </c:ext>
          </c:extLst>
        </c:ser>
        <c:dLbls>
          <c:dLblPos val="t"/>
          <c:showLegendKey val="0"/>
          <c:showVal val="0"/>
          <c:showCatName val="0"/>
          <c:showSerName val="0"/>
          <c:showPercent val="0"/>
          <c:showBubbleSize val="0"/>
        </c:dLbls>
        <c:smooth val="0"/>
        <c:axId val="261715664"/>
        <c:axId val="261716144"/>
      </c:lineChart>
      <c:catAx>
        <c:axId val="2617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6144"/>
        <c:crosses val="autoZero"/>
        <c:auto val="1"/>
        <c:lblAlgn val="ctr"/>
        <c:lblOffset val="100"/>
        <c:noMultiLvlLbl val="0"/>
      </c:catAx>
      <c:valAx>
        <c:axId val="26171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[COVID19_Worldwide_Data_Analysis.xlsx]Pivot_Tables!Total Cases by Country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Cases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86910839441774"/>
          <c:y val="0.24491613935854917"/>
          <c:w val="0.53191819429164766"/>
          <c:h val="0.65517745359349466"/>
        </c:manualLayout>
      </c:layout>
      <c:barChart>
        <c:barDir val="bar"/>
        <c:grouping val="clustered"/>
        <c:varyColors val="0"/>
        <c:ser>
          <c:idx val="0"/>
          <c:order val="0"/>
          <c:tx>
            <c:strRef>
              <c:f>Pivot_Tables!$B$3</c:f>
              <c:strCache>
                <c:ptCount val="1"/>
                <c:pt idx="0">
                  <c:v>Total</c:v>
                </c:pt>
              </c:strCache>
            </c:strRef>
          </c:tx>
          <c:spPr>
            <a:solidFill>
              <a:schemeClr val="accent2"/>
            </a:solidFill>
            <a:ln>
              <a:noFill/>
            </a:ln>
            <a:effectLst/>
          </c:spPr>
          <c:invertIfNegative val="0"/>
          <c:cat>
            <c:strRef>
              <c:f>Pivot_Tables!$A$4:$A$12</c:f>
              <c:strCache>
                <c:ptCount val="8"/>
                <c:pt idx="0">
                  <c:v>Italy</c:v>
                </c:pt>
                <c:pt idx="1">
                  <c:v>India</c:v>
                </c:pt>
                <c:pt idx="2">
                  <c:v>France</c:v>
                </c:pt>
                <c:pt idx="3">
                  <c:v>Germany</c:v>
                </c:pt>
                <c:pt idx="4">
                  <c:v>Russia</c:v>
                </c:pt>
                <c:pt idx="5">
                  <c:v>USA</c:v>
                </c:pt>
                <c:pt idx="6">
                  <c:v>UK</c:v>
                </c:pt>
                <c:pt idx="7">
                  <c:v>Brazil</c:v>
                </c:pt>
              </c:strCache>
            </c:strRef>
          </c:cat>
          <c:val>
            <c:numRef>
              <c:f>Pivot_Tables!$B$4:$B$12</c:f>
              <c:numCache>
                <c:formatCode>#,##0</c:formatCode>
                <c:ptCount val="8"/>
                <c:pt idx="0">
                  <c:v>2784296132</c:v>
                </c:pt>
                <c:pt idx="1">
                  <c:v>2662107331</c:v>
                </c:pt>
                <c:pt idx="2">
                  <c:v>2605306065</c:v>
                </c:pt>
                <c:pt idx="3">
                  <c:v>2337663194</c:v>
                </c:pt>
                <c:pt idx="4">
                  <c:v>1465387411</c:v>
                </c:pt>
                <c:pt idx="5">
                  <c:v>1301224178</c:v>
                </c:pt>
                <c:pt idx="6">
                  <c:v>1157700766</c:v>
                </c:pt>
                <c:pt idx="7">
                  <c:v>1125353689</c:v>
                </c:pt>
              </c:numCache>
            </c:numRef>
          </c:val>
          <c:extLst>
            <c:ext xmlns:c16="http://schemas.microsoft.com/office/drawing/2014/chart" uri="{C3380CC4-5D6E-409C-BE32-E72D297353CC}">
              <c16:uniqueId val="{00000000-1D74-420A-9ECE-5E1D86706952}"/>
            </c:ext>
          </c:extLst>
        </c:ser>
        <c:dLbls>
          <c:dLblPos val="outEnd"/>
          <c:showLegendKey val="0"/>
          <c:showVal val="0"/>
          <c:showCatName val="0"/>
          <c:showSerName val="0"/>
          <c:showPercent val="0"/>
          <c:showBubbleSize val="0"/>
        </c:dLbls>
        <c:gapWidth val="182"/>
        <c:axId val="262228048"/>
        <c:axId val="262229488"/>
      </c:barChart>
      <c:catAx>
        <c:axId val="26222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29488"/>
        <c:crosses val="autoZero"/>
        <c:auto val="1"/>
        <c:lblAlgn val="ctr"/>
        <c:lblOffset val="100"/>
        <c:noMultiLvlLbl val="0"/>
      </c:catAx>
      <c:valAx>
        <c:axId val="262229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2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[COVID19_Worldwide_Data_Analysis.xlsx]Pivot_Tables!Deaths vs Recovered</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VS Recovery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Total Deaths</c:v>
                </c:pt>
              </c:strCache>
            </c:strRef>
          </c:tx>
          <c:spPr>
            <a:solidFill>
              <a:schemeClr val="accent1"/>
            </a:solidFill>
            <a:ln>
              <a:noFill/>
            </a:ln>
            <a:effectLst/>
          </c:spPr>
          <c:invertIfNegative val="0"/>
          <c:cat>
            <c:strRef>
              <c:f>Pivot_Tables!$H$4:$H$12</c:f>
              <c:strCache>
                <c:ptCount val="8"/>
                <c:pt idx="0">
                  <c:v>Brazil</c:v>
                </c:pt>
                <c:pt idx="1">
                  <c:v>France</c:v>
                </c:pt>
                <c:pt idx="2">
                  <c:v>Germany</c:v>
                </c:pt>
                <c:pt idx="3">
                  <c:v>India</c:v>
                </c:pt>
                <c:pt idx="4">
                  <c:v>Italy</c:v>
                </c:pt>
                <c:pt idx="5">
                  <c:v>Russia</c:v>
                </c:pt>
                <c:pt idx="6">
                  <c:v>UK</c:v>
                </c:pt>
                <c:pt idx="7">
                  <c:v>USA</c:v>
                </c:pt>
              </c:strCache>
            </c:strRef>
          </c:cat>
          <c:val>
            <c:numRef>
              <c:f>Pivot_Tables!$I$4:$I$12</c:f>
              <c:numCache>
                <c:formatCode>#,##0</c:formatCode>
                <c:ptCount val="8"/>
                <c:pt idx="0">
                  <c:v>21982118</c:v>
                </c:pt>
                <c:pt idx="1">
                  <c:v>51609873</c:v>
                </c:pt>
                <c:pt idx="2">
                  <c:v>47025523</c:v>
                </c:pt>
                <c:pt idx="3">
                  <c:v>53774027</c:v>
                </c:pt>
                <c:pt idx="4">
                  <c:v>52690412</c:v>
                </c:pt>
                <c:pt idx="5">
                  <c:v>29206391</c:v>
                </c:pt>
                <c:pt idx="6">
                  <c:v>22309017</c:v>
                </c:pt>
                <c:pt idx="7">
                  <c:v>26555651</c:v>
                </c:pt>
              </c:numCache>
            </c:numRef>
          </c:val>
          <c:extLst>
            <c:ext xmlns:c16="http://schemas.microsoft.com/office/drawing/2014/chart" uri="{C3380CC4-5D6E-409C-BE32-E72D297353CC}">
              <c16:uniqueId val="{00000000-3689-41F3-A341-CBDD54311A23}"/>
            </c:ext>
          </c:extLst>
        </c:ser>
        <c:ser>
          <c:idx val="1"/>
          <c:order val="1"/>
          <c:tx>
            <c:strRef>
              <c:f>Pivot_Tables!$J$3</c:f>
              <c:strCache>
                <c:ptCount val="1"/>
                <c:pt idx="0">
                  <c:v>Total Recovered</c:v>
                </c:pt>
              </c:strCache>
            </c:strRef>
          </c:tx>
          <c:spPr>
            <a:solidFill>
              <a:schemeClr val="accent3"/>
            </a:solidFill>
            <a:ln>
              <a:noFill/>
            </a:ln>
            <a:effectLst/>
          </c:spPr>
          <c:invertIfNegative val="0"/>
          <c:cat>
            <c:strRef>
              <c:f>Pivot_Tables!$H$4:$H$12</c:f>
              <c:strCache>
                <c:ptCount val="8"/>
                <c:pt idx="0">
                  <c:v>Brazil</c:v>
                </c:pt>
                <c:pt idx="1">
                  <c:v>France</c:v>
                </c:pt>
                <c:pt idx="2">
                  <c:v>Germany</c:v>
                </c:pt>
                <c:pt idx="3">
                  <c:v>India</c:v>
                </c:pt>
                <c:pt idx="4">
                  <c:v>Italy</c:v>
                </c:pt>
                <c:pt idx="5">
                  <c:v>Russia</c:v>
                </c:pt>
                <c:pt idx="6">
                  <c:v>UK</c:v>
                </c:pt>
                <c:pt idx="7">
                  <c:v>USA</c:v>
                </c:pt>
              </c:strCache>
            </c:strRef>
          </c:cat>
          <c:val>
            <c:numRef>
              <c:f>Pivot_Tables!$J$4:$J$12</c:f>
              <c:numCache>
                <c:formatCode>#,##0</c:formatCode>
                <c:ptCount val="8"/>
                <c:pt idx="0">
                  <c:v>903269218</c:v>
                </c:pt>
                <c:pt idx="1">
                  <c:v>2093744803</c:v>
                </c:pt>
                <c:pt idx="2">
                  <c:v>1863953440</c:v>
                </c:pt>
                <c:pt idx="3">
                  <c:v>2135171328</c:v>
                </c:pt>
                <c:pt idx="4">
                  <c:v>2216032499</c:v>
                </c:pt>
                <c:pt idx="5">
                  <c:v>1181212771</c:v>
                </c:pt>
                <c:pt idx="6">
                  <c:v>930154750</c:v>
                </c:pt>
                <c:pt idx="7">
                  <c:v>1045825243</c:v>
                </c:pt>
              </c:numCache>
            </c:numRef>
          </c:val>
          <c:extLst>
            <c:ext xmlns:c16="http://schemas.microsoft.com/office/drawing/2014/chart" uri="{C3380CC4-5D6E-409C-BE32-E72D297353CC}">
              <c16:uniqueId val="{00000001-3689-41F3-A341-CBDD54311A23}"/>
            </c:ext>
          </c:extLst>
        </c:ser>
        <c:dLbls>
          <c:dLblPos val="outEnd"/>
          <c:showLegendKey val="0"/>
          <c:showVal val="0"/>
          <c:showCatName val="0"/>
          <c:showSerName val="0"/>
          <c:showPercent val="0"/>
          <c:showBubbleSize val="0"/>
        </c:dLbls>
        <c:gapWidth val="219"/>
        <c:overlap val="-27"/>
        <c:axId val="524395152"/>
        <c:axId val="524396112"/>
      </c:barChart>
      <c:catAx>
        <c:axId val="52439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96112"/>
        <c:crosses val="autoZero"/>
        <c:auto val="1"/>
        <c:lblAlgn val="ctr"/>
        <c:lblOffset val="100"/>
        <c:noMultiLvlLbl val="0"/>
      </c:catAx>
      <c:valAx>
        <c:axId val="524396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9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[COVID19_Worldwide_Data_Analysis.xlsx]Pivot_Tables!Total Cases by Country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Cases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86910839441774"/>
          <c:y val="0.24491613935854917"/>
          <c:w val="0.53191819429164766"/>
          <c:h val="0.65517745359349466"/>
        </c:manualLayout>
      </c:layout>
      <c:barChart>
        <c:barDir val="bar"/>
        <c:grouping val="clustered"/>
        <c:varyColors val="0"/>
        <c:ser>
          <c:idx val="0"/>
          <c:order val="0"/>
          <c:tx>
            <c:strRef>
              <c:f>Pivot_Tables!$B$3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Pivot_Tables!$A$4:$A$12</c:f>
              <c:strCache>
                <c:ptCount val="8"/>
                <c:pt idx="0">
                  <c:v>Italy</c:v>
                </c:pt>
                <c:pt idx="1">
                  <c:v>India</c:v>
                </c:pt>
                <c:pt idx="2">
                  <c:v>France</c:v>
                </c:pt>
                <c:pt idx="3">
                  <c:v>Germany</c:v>
                </c:pt>
                <c:pt idx="4">
                  <c:v>Russia</c:v>
                </c:pt>
                <c:pt idx="5">
                  <c:v>USA</c:v>
                </c:pt>
                <c:pt idx="6">
                  <c:v>UK</c:v>
                </c:pt>
                <c:pt idx="7">
                  <c:v>Brazil</c:v>
                </c:pt>
              </c:strCache>
            </c:strRef>
          </c:cat>
          <c:val>
            <c:numRef>
              <c:f>Pivot_Tables!$B$4:$B$12</c:f>
              <c:numCache>
                <c:formatCode>#,##0</c:formatCode>
                <c:ptCount val="8"/>
                <c:pt idx="0">
                  <c:v>2784296132</c:v>
                </c:pt>
                <c:pt idx="1">
                  <c:v>2662107331</c:v>
                </c:pt>
                <c:pt idx="2">
                  <c:v>2605306065</c:v>
                </c:pt>
                <c:pt idx="3">
                  <c:v>2337663194</c:v>
                </c:pt>
                <c:pt idx="4">
                  <c:v>1465387411</c:v>
                </c:pt>
                <c:pt idx="5">
                  <c:v>1301224178</c:v>
                </c:pt>
                <c:pt idx="6">
                  <c:v>1157700766</c:v>
                </c:pt>
                <c:pt idx="7">
                  <c:v>1125353689</c:v>
                </c:pt>
              </c:numCache>
            </c:numRef>
          </c:val>
          <c:extLst>
            <c:ext xmlns:c16="http://schemas.microsoft.com/office/drawing/2014/chart" uri="{C3380CC4-5D6E-409C-BE32-E72D297353CC}">
              <c16:uniqueId val="{00000000-3D02-4F30-89CA-C51488BE4132}"/>
            </c:ext>
          </c:extLst>
        </c:ser>
        <c:dLbls>
          <c:dLblPos val="outEnd"/>
          <c:showLegendKey val="0"/>
          <c:showVal val="1"/>
          <c:showCatName val="0"/>
          <c:showSerName val="0"/>
          <c:showPercent val="0"/>
          <c:showBubbleSize val="0"/>
        </c:dLbls>
        <c:gapWidth val="182"/>
        <c:axId val="262228048"/>
        <c:axId val="262229488"/>
      </c:barChart>
      <c:catAx>
        <c:axId val="26222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29488"/>
        <c:crosses val="autoZero"/>
        <c:auto val="1"/>
        <c:lblAlgn val="ctr"/>
        <c:lblOffset val="100"/>
        <c:noMultiLvlLbl val="0"/>
      </c:catAx>
      <c:valAx>
        <c:axId val="262229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2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[COVID19_Worldwide_Data_Analysis.xlsx]Pivot_Tables!Trend Over Time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Cases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Pivot_Tables!$E$4:$E$154</c:f>
              <c:strCache>
                <c:ptCount val="15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pt idx="90">
                  <c:v>2021-04-01</c:v>
                </c:pt>
                <c:pt idx="91">
                  <c:v>2021-04-02</c:v>
                </c:pt>
                <c:pt idx="92">
                  <c:v>2021-04-03</c:v>
                </c:pt>
                <c:pt idx="93">
                  <c:v>2021-04-04</c:v>
                </c:pt>
                <c:pt idx="94">
                  <c:v>2021-04-05</c:v>
                </c:pt>
                <c:pt idx="95">
                  <c:v>2021-04-06</c:v>
                </c:pt>
                <c:pt idx="96">
                  <c:v>2021-04-07</c:v>
                </c:pt>
                <c:pt idx="97">
                  <c:v>2021-04-08</c:v>
                </c:pt>
                <c:pt idx="98">
                  <c:v>2021-04-09</c:v>
                </c:pt>
                <c:pt idx="99">
                  <c:v>2021-04-10</c:v>
                </c:pt>
                <c:pt idx="100">
                  <c:v>2021-04-11</c:v>
                </c:pt>
                <c:pt idx="101">
                  <c:v>2021-04-12</c:v>
                </c:pt>
                <c:pt idx="102">
                  <c:v>2021-04-13</c:v>
                </c:pt>
                <c:pt idx="103">
                  <c:v>2021-04-14</c:v>
                </c:pt>
                <c:pt idx="104">
                  <c:v>2021-04-15</c:v>
                </c:pt>
                <c:pt idx="105">
                  <c:v>2021-04-16</c:v>
                </c:pt>
                <c:pt idx="106">
                  <c:v>2021-04-17</c:v>
                </c:pt>
                <c:pt idx="107">
                  <c:v>2021-04-18</c:v>
                </c:pt>
                <c:pt idx="108">
                  <c:v>2021-04-19</c:v>
                </c:pt>
                <c:pt idx="109">
                  <c:v>2021-04-20</c:v>
                </c:pt>
                <c:pt idx="110">
                  <c:v>2021-04-21</c:v>
                </c:pt>
                <c:pt idx="111">
                  <c:v>2021-04-22</c:v>
                </c:pt>
                <c:pt idx="112">
                  <c:v>2021-04-23</c:v>
                </c:pt>
                <c:pt idx="113">
                  <c:v>2021-04-24</c:v>
                </c:pt>
                <c:pt idx="114">
                  <c:v>2021-04-25</c:v>
                </c:pt>
                <c:pt idx="115">
                  <c:v>2021-04-26</c:v>
                </c:pt>
                <c:pt idx="116">
                  <c:v>2021-04-27</c:v>
                </c:pt>
                <c:pt idx="117">
                  <c:v>2021-04-28</c:v>
                </c:pt>
                <c:pt idx="118">
                  <c:v>2021-04-29</c:v>
                </c:pt>
                <c:pt idx="119">
                  <c:v>2021-04-30</c:v>
                </c:pt>
                <c:pt idx="120">
                  <c:v>2021-05-01</c:v>
                </c:pt>
                <c:pt idx="121">
                  <c:v>2021-05-02</c:v>
                </c:pt>
                <c:pt idx="122">
                  <c:v>2021-05-03</c:v>
                </c:pt>
                <c:pt idx="123">
                  <c:v>2021-05-04</c:v>
                </c:pt>
                <c:pt idx="124">
                  <c:v>2021-05-05</c:v>
                </c:pt>
                <c:pt idx="125">
                  <c:v>2021-05-06</c:v>
                </c:pt>
                <c:pt idx="126">
                  <c:v>2021-05-07</c:v>
                </c:pt>
                <c:pt idx="127">
                  <c:v>2021-05-08</c:v>
                </c:pt>
                <c:pt idx="128">
                  <c:v>2021-05-09</c:v>
                </c:pt>
                <c:pt idx="129">
                  <c:v>2021-05-10</c:v>
                </c:pt>
                <c:pt idx="130">
                  <c:v>2021-05-11</c:v>
                </c:pt>
                <c:pt idx="131">
                  <c:v>2021-05-12</c:v>
                </c:pt>
                <c:pt idx="132">
                  <c:v>2021-05-13</c:v>
                </c:pt>
                <c:pt idx="133">
                  <c:v>2021-05-14</c:v>
                </c:pt>
                <c:pt idx="134">
                  <c:v>2021-05-15</c:v>
                </c:pt>
                <c:pt idx="135">
                  <c:v>2021-05-16</c:v>
                </c:pt>
                <c:pt idx="136">
                  <c:v>2021-05-17</c:v>
                </c:pt>
                <c:pt idx="137">
                  <c:v>2021-05-18</c:v>
                </c:pt>
                <c:pt idx="138">
                  <c:v>2021-05-19</c:v>
                </c:pt>
                <c:pt idx="139">
                  <c:v>2021-05-20</c:v>
                </c:pt>
                <c:pt idx="140">
                  <c:v>2021-05-21</c:v>
                </c:pt>
                <c:pt idx="141">
                  <c:v>2021-05-22</c:v>
                </c:pt>
                <c:pt idx="142">
                  <c:v>2021-05-23</c:v>
                </c:pt>
                <c:pt idx="143">
                  <c:v>2021-05-24</c:v>
                </c:pt>
                <c:pt idx="144">
                  <c:v>2021-05-25</c:v>
                </c:pt>
                <c:pt idx="145">
                  <c:v>2021-05-26</c:v>
                </c:pt>
                <c:pt idx="146">
                  <c:v>2021-05-27</c:v>
                </c:pt>
                <c:pt idx="147">
                  <c:v>2021-05-28</c:v>
                </c:pt>
                <c:pt idx="148">
                  <c:v>2021-05-29</c:v>
                </c:pt>
                <c:pt idx="149">
                  <c:v>2021-05-30</c:v>
                </c:pt>
              </c:strCache>
            </c:strRef>
          </c:cat>
          <c:val>
            <c:numRef>
              <c:f>Pivot_Tables!$F$4:$F$154</c:f>
              <c:numCache>
                <c:formatCode>#,##0</c:formatCode>
                <c:ptCount val="150"/>
                <c:pt idx="0">
                  <c:v>45196084</c:v>
                </c:pt>
                <c:pt idx="1">
                  <c:v>47044256</c:v>
                </c:pt>
                <c:pt idx="2">
                  <c:v>48793848</c:v>
                </c:pt>
                <c:pt idx="3">
                  <c:v>50505089</c:v>
                </c:pt>
                <c:pt idx="4">
                  <c:v>52413630</c:v>
                </c:pt>
                <c:pt idx="5">
                  <c:v>53883503</c:v>
                </c:pt>
                <c:pt idx="6">
                  <c:v>55314601</c:v>
                </c:pt>
                <c:pt idx="7">
                  <c:v>57116660</c:v>
                </c:pt>
                <c:pt idx="8">
                  <c:v>59225328</c:v>
                </c:pt>
                <c:pt idx="9">
                  <c:v>60699859</c:v>
                </c:pt>
                <c:pt idx="10">
                  <c:v>62494940</c:v>
                </c:pt>
                <c:pt idx="11">
                  <c:v>63675178</c:v>
                </c:pt>
                <c:pt idx="12">
                  <c:v>65178461</c:v>
                </c:pt>
                <c:pt idx="13">
                  <c:v>66594192</c:v>
                </c:pt>
                <c:pt idx="14">
                  <c:v>68163568</c:v>
                </c:pt>
                <c:pt idx="15">
                  <c:v>69442166</c:v>
                </c:pt>
                <c:pt idx="16">
                  <c:v>71065225</c:v>
                </c:pt>
                <c:pt idx="17">
                  <c:v>73056593</c:v>
                </c:pt>
                <c:pt idx="18">
                  <c:v>86756458</c:v>
                </c:pt>
                <c:pt idx="19">
                  <c:v>126310784</c:v>
                </c:pt>
                <c:pt idx="20">
                  <c:v>128062550</c:v>
                </c:pt>
                <c:pt idx="21">
                  <c:v>129558773</c:v>
                </c:pt>
                <c:pt idx="22">
                  <c:v>130933080</c:v>
                </c:pt>
                <c:pt idx="23">
                  <c:v>132152055</c:v>
                </c:pt>
                <c:pt idx="24">
                  <c:v>133588230</c:v>
                </c:pt>
                <c:pt idx="25">
                  <c:v>134983762</c:v>
                </c:pt>
                <c:pt idx="26">
                  <c:v>136477808</c:v>
                </c:pt>
                <c:pt idx="27">
                  <c:v>137692529</c:v>
                </c:pt>
                <c:pt idx="28">
                  <c:v>139490315</c:v>
                </c:pt>
                <c:pt idx="29">
                  <c:v>141085138</c:v>
                </c:pt>
                <c:pt idx="30">
                  <c:v>142767495</c:v>
                </c:pt>
                <c:pt idx="31">
                  <c:v>144341242</c:v>
                </c:pt>
                <c:pt idx="32">
                  <c:v>145523643</c:v>
                </c:pt>
                <c:pt idx="33">
                  <c:v>146382993</c:v>
                </c:pt>
                <c:pt idx="34">
                  <c:v>147904705</c:v>
                </c:pt>
                <c:pt idx="35">
                  <c:v>149387575</c:v>
                </c:pt>
                <c:pt idx="36">
                  <c:v>151130279</c:v>
                </c:pt>
                <c:pt idx="37">
                  <c:v>130821880</c:v>
                </c:pt>
                <c:pt idx="38">
                  <c:v>110424840</c:v>
                </c:pt>
                <c:pt idx="39">
                  <c:v>112170577</c:v>
                </c:pt>
                <c:pt idx="40">
                  <c:v>114106469</c:v>
                </c:pt>
                <c:pt idx="41">
                  <c:v>115716154</c:v>
                </c:pt>
                <c:pt idx="42">
                  <c:v>117895120</c:v>
                </c:pt>
                <c:pt idx="43">
                  <c:v>119448337</c:v>
                </c:pt>
                <c:pt idx="44">
                  <c:v>121161679</c:v>
                </c:pt>
                <c:pt idx="45">
                  <c:v>123075286</c:v>
                </c:pt>
                <c:pt idx="46">
                  <c:v>124741458</c:v>
                </c:pt>
                <c:pt idx="47">
                  <c:v>126199659</c:v>
                </c:pt>
                <c:pt idx="48">
                  <c:v>127396557</c:v>
                </c:pt>
                <c:pt idx="49">
                  <c:v>129060259</c:v>
                </c:pt>
                <c:pt idx="50">
                  <c:v>130820324</c:v>
                </c:pt>
                <c:pt idx="51">
                  <c:v>132206524</c:v>
                </c:pt>
                <c:pt idx="52">
                  <c:v>133858464</c:v>
                </c:pt>
                <c:pt idx="53">
                  <c:v>135315170</c:v>
                </c:pt>
                <c:pt idx="54">
                  <c:v>136602384</c:v>
                </c:pt>
                <c:pt idx="55">
                  <c:v>138079373</c:v>
                </c:pt>
                <c:pt idx="56">
                  <c:v>131041268</c:v>
                </c:pt>
                <c:pt idx="57">
                  <c:v>129808743</c:v>
                </c:pt>
                <c:pt idx="58">
                  <c:v>131270822</c:v>
                </c:pt>
                <c:pt idx="59">
                  <c:v>132540650</c:v>
                </c:pt>
                <c:pt idx="60">
                  <c:v>134357841</c:v>
                </c:pt>
                <c:pt idx="61">
                  <c:v>135775848</c:v>
                </c:pt>
                <c:pt idx="62">
                  <c:v>136783243</c:v>
                </c:pt>
                <c:pt idx="63">
                  <c:v>138318013</c:v>
                </c:pt>
                <c:pt idx="64">
                  <c:v>140004342</c:v>
                </c:pt>
                <c:pt idx="65">
                  <c:v>141487621</c:v>
                </c:pt>
                <c:pt idx="66">
                  <c:v>143621553</c:v>
                </c:pt>
                <c:pt idx="67">
                  <c:v>145239878</c:v>
                </c:pt>
                <c:pt idx="68">
                  <c:v>146516802</c:v>
                </c:pt>
                <c:pt idx="69">
                  <c:v>147924636</c:v>
                </c:pt>
                <c:pt idx="70">
                  <c:v>149180788</c:v>
                </c:pt>
                <c:pt idx="71">
                  <c:v>150611016</c:v>
                </c:pt>
                <c:pt idx="72">
                  <c:v>152271407</c:v>
                </c:pt>
                <c:pt idx="73">
                  <c:v>154156555</c:v>
                </c:pt>
                <c:pt idx="74">
                  <c:v>156026144</c:v>
                </c:pt>
                <c:pt idx="75">
                  <c:v>132659647</c:v>
                </c:pt>
                <c:pt idx="76">
                  <c:v>134560875</c:v>
                </c:pt>
                <c:pt idx="77">
                  <c:v>136206483</c:v>
                </c:pt>
                <c:pt idx="78">
                  <c:v>138200146</c:v>
                </c:pt>
                <c:pt idx="79">
                  <c:v>140096164</c:v>
                </c:pt>
                <c:pt idx="80">
                  <c:v>141484556</c:v>
                </c:pt>
                <c:pt idx="81">
                  <c:v>143242591</c:v>
                </c:pt>
                <c:pt idx="82">
                  <c:v>145212394</c:v>
                </c:pt>
                <c:pt idx="83">
                  <c:v>146806371</c:v>
                </c:pt>
                <c:pt idx="84">
                  <c:v>148760563</c:v>
                </c:pt>
                <c:pt idx="85">
                  <c:v>150864817</c:v>
                </c:pt>
                <c:pt idx="86">
                  <c:v>152271891</c:v>
                </c:pt>
                <c:pt idx="87">
                  <c:v>154040316</c:v>
                </c:pt>
                <c:pt idx="88">
                  <c:v>155684224</c:v>
                </c:pt>
                <c:pt idx="89">
                  <c:v>157489206</c:v>
                </c:pt>
                <c:pt idx="90">
                  <c:v>159388046</c:v>
                </c:pt>
                <c:pt idx="91">
                  <c:v>160910766</c:v>
                </c:pt>
                <c:pt idx="92">
                  <c:v>162921396</c:v>
                </c:pt>
                <c:pt idx="93">
                  <c:v>138997728</c:v>
                </c:pt>
                <c:pt idx="94">
                  <c:v>63199409</c:v>
                </c:pt>
                <c:pt idx="95">
                  <c:v>65000068</c:v>
                </c:pt>
                <c:pt idx="96">
                  <c:v>66660373</c:v>
                </c:pt>
                <c:pt idx="97">
                  <c:v>68554518</c:v>
                </c:pt>
                <c:pt idx="98">
                  <c:v>70260461</c:v>
                </c:pt>
                <c:pt idx="99">
                  <c:v>72091745</c:v>
                </c:pt>
                <c:pt idx="100">
                  <c:v>73706084</c:v>
                </c:pt>
                <c:pt idx="101">
                  <c:v>75332134</c:v>
                </c:pt>
                <c:pt idx="102">
                  <c:v>77064696</c:v>
                </c:pt>
                <c:pt idx="103">
                  <c:v>78977484</c:v>
                </c:pt>
                <c:pt idx="104">
                  <c:v>81122624</c:v>
                </c:pt>
                <c:pt idx="105">
                  <c:v>82575873</c:v>
                </c:pt>
                <c:pt idx="106">
                  <c:v>83762320</c:v>
                </c:pt>
                <c:pt idx="107">
                  <c:v>85717234</c:v>
                </c:pt>
                <c:pt idx="108">
                  <c:v>87100665</c:v>
                </c:pt>
                <c:pt idx="109">
                  <c:v>88722103</c:v>
                </c:pt>
                <c:pt idx="110">
                  <c:v>90679780</c:v>
                </c:pt>
                <c:pt idx="111">
                  <c:v>92467373</c:v>
                </c:pt>
                <c:pt idx="112">
                  <c:v>70296876</c:v>
                </c:pt>
                <c:pt idx="113">
                  <c:v>48221136</c:v>
                </c:pt>
                <c:pt idx="114">
                  <c:v>50268015</c:v>
                </c:pt>
                <c:pt idx="115">
                  <c:v>52060538</c:v>
                </c:pt>
                <c:pt idx="116">
                  <c:v>54053900</c:v>
                </c:pt>
                <c:pt idx="117">
                  <c:v>55549203</c:v>
                </c:pt>
                <c:pt idx="118">
                  <c:v>56767150</c:v>
                </c:pt>
                <c:pt idx="119">
                  <c:v>58670743</c:v>
                </c:pt>
                <c:pt idx="120">
                  <c:v>60405357</c:v>
                </c:pt>
                <c:pt idx="121">
                  <c:v>61962968</c:v>
                </c:pt>
                <c:pt idx="122">
                  <c:v>63239338</c:v>
                </c:pt>
                <c:pt idx="123">
                  <c:v>64525883</c:v>
                </c:pt>
                <c:pt idx="124">
                  <c:v>65528715</c:v>
                </c:pt>
                <c:pt idx="125">
                  <c:v>66628738</c:v>
                </c:pt>
                <c:pt idx="126">
                  <c:v>68065495</c:v>
                </c:pt>
                <c:pt idx="127">
                  <c:v>69781980</c:v>
                </c:pt>
                <c:pt idx="128">
                  <c:v>71644519</c:v>
                </c:pt>
                <c:pt idx="129">
                  <c:v>73279363</c:v>
                </c:pt>
                <c:pt idx="130">
                  <c:v>74745549</c:v>
                </c:pt>
                <c:pt idx="131">
                  <c:v>60354849</c:v>
                </c:pt>
                <c:pt idx="132">
                  <c:v>56616597</c:v>
                </c:pt>
                <c:pt idx="133">
                  <c:v>57919530</c:v>
                </c:pt>
                <c:pt idx="134">
                  <c:v>59392601</c:v>
                </c:pt>
                <c:pt idx="135">
                  <c:v>60938334</c:v>
                </c:pt>
                <c:pt idx="136">
                  <c:v>62936041</c:v>
                </c:pt>
                <c:pt idx="137">
                  <c:v>64803311</c:v>
                </c:pt>
                <c:pt idx="138">
                  <c:v>66414582</c:v>
                </c:pt>
                <c:pt idx="139">
                  <c:v>67708002</c:v>
                </c:pt>
                <c:pt idx="140">
                  <c:v>69252593</c:v>
                </c:pt>
                <c:pt idx="141">
                  <c:v>71221026</c:v>
                </c:pt>
                <c:pt idx="142">
                  <c:v>72894499</c:v>
                </c:pt>
                <c:pt idx="143">
                  <c:v>74550689</c:v>
                </c:pt>
                <c:pt idx="144">
                  <c:v>76035803</c:v>
                </c:pt>
                <c:pt idx="145">
                  <c:v>77123381</c:v>
                </c:pt>
                <c:pt idx="146">
                  <c:v>78301778</c:v>
                </c:pt>
                <c:pt idx="147">
                  <c:v>79678460</c:v>
                </c:pt>
                <c:pt idx="148">
                  <c:v>81224963</c:v>
                </c:pt>
                <c:pt idx="149">
                  <c:v>82752858</c:v>
                </c:pt>
              </c:numCache>
            </c:numRef>
          </c:val>
          <c:smooth val="0"/>
          <c:extLst>
            <c:ext xmlns:c16="http://schemas.microsoft.com/office/drawing/2014/chart" uri="{C3380CC4-5D6E-409C-BE32-E72D297353CC}">
              <c16:uniqueId val="{00000001-DA95-4058-8FB1-CE13E01B6977}"/>
            </c:ext>
          </c:extLst>
        </c:ser>
        <c:dLbls>
          <c:showLegendKey val="0"/>
          <c:showVal val="0"/>
          <c:showCatName val="0"/>
          <c:showSerName val="0"/>
          <c:showPercent val="0"/>
          <c:showBubbleSize val="0"/>
        </c:dLbls>
        <c:smooth val="0"/>
        <c:axId val="261715664"/>
        <c:axId val="261716144"/>
      </c:lineChart>
      <c:catAx>
        <c:axId val="2617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6144"/>
        <c:crosses val="autoZero"/>
        <c:auto val="1"/>
        <c:lblAlgn val="ctr"/>
        <c:lblOffset val="100"/>
        <c:noMultiLvlLbl val="0"/>
      </c:catAx>
      <c:valAx>
        <c:axId val="26171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[COVID19_Worldwide_Data_Analysis.xlsx]Pivot_Tables!Deaths vs Recovered</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VS Recovery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Total Deaths</c:v>
                </c:pt>
              </c:strCache>
            </c:strRef>
          </c:tx>
          <c:spPr>
            <a:solidFill>
              <a:schemeClr val="accent1"/>
            </a:solidFill>
            <a:ln>
              <a:noFill/>
            </a:ln>
            <a:effectLst/>
          </c:spPr>
          <c:invertIfNegative val="0"/>
          <c:cat>
            <c:strRef>
              <c:f>Pivot_Tables!$H$4:$H$12</c:f>
              <c:strCache>
                <c:ptCount val="8"/>
                <c:pt idx="0">
                  <c:v>Brazil</c:v>
                </c:pt>
                <c:pt idx="1">
                  <c:v>France</c:v>
                </c:pt>
                <c:pt idx="2">
                  <c:v>Germany</c:v>
                </c:pt>
                <c:pt idx="3">
                  <c:v>India</c:v>
                </c:pt>
                <c:pt idx="4">
                  <c:v>Italy</c:v>
                </c:pt>
                <c:pt idx="5">
                  <c:v>Russia</c:v>
                </c:pt>
                <c:pt idx="6">
                  <c:v>UK</c:v>
                </c:pt>
                <c:pt idx="7">
                  <c:v>USA</c:v>
                </c:pt>
              </c:strCache>
            </c:strRef>
          </c:cat>
          <c:val>
            <c:numRef>
              <c:f>Pivot_Tables!$I$4:$I$12</c:f>
              <c:numCache>
                <c:formatCode>#,##0</c:formatCode>
                <c:ptCount val="8"/>
                <c:pt idx="0">
                  <c:v>21982118</c:v>
                </c:pt>
                <c:pt idx="1">
                  <c:v>51609873</c:v>
                </c:pt>
                <c:pt idx="2">
                  <c:v>47025523</c:v>
                </c:pt>
                <c:pt idx="3">
                  <c:v>53774027</c:v>
                </c:pt>
                <c:pt idx="4">
                  <c:v>52690412</c:v>
                </c:pt>
                <c:pt idx="5">
                  <c:v>29206391</c:v>
                </c:pt>
                <c:pt idx="6">
                  <c:v>22309017</c:v>
                </c:pt>
                <c:pt idx="7">
                  <c:v>26555651</c:v>
                </c:pt>
              </c:numCache>
            </c:numRef>
          </c:val>
          <c:extLst>
            <c:ext xmlns:c16="http://schemas.microsoft.com/office/drawing/2014/chart" uri="{C3380CC4-5D6E-409C-BE32-E72D297353CC}">
              <c16:uniqueId val="{00000000-CEF2-46D9-A72A-835E8D83E66D}"/>
            </c:ext>
          </c:extLst>
        </c:ser>
        <c:ser>
          <c:idx val="1"/>
          <c:order val="1"/>
          <c:tx>
            <c:strRef>
              <c:f>Pivot_Tables!$J$3</c:f>
              <c:strCache>
                <c:ptCount val="1"/>
                <c:pt idx="0">
                  <c:v>Total Recovered</c:v>
                </c:pt>
              </c:strCache>
            </c:strRef>
          </c:tx>
          <c:spPr>
            <a:solidFill>
              <a:schemeClr val="accent3"/>
            </a:solidFill>
            <a:ln>
              <a:noFill/>
            </a:ln>
            <a:effectLst/>
          </c:spPr>
          <c:invertIfNegative val="0"/>
          <c:cat>
            <c:strRef>
              <c:f>Pivot_Tables!$H$4:$H$12</c:f>
              <c:strCache>
                <c:ptCount val="8"/>
                <c:pt idx="0">
                  <c:v>Brazil</c:v>
                </c:pt>
                <c:pt idx="1">
                  <c:v>France</c:v>
                </c:pt>
                <c:pt idx="2">
                  <c:v>Germany</c:v>
                </c:pt>
                <c:pt idx="3">
                  <c:v>India</c:v>
                </c:pt>
                <c:pt idx="4">
                  <c:v>Italy</c:v>
                </c:pt>
                <c:pt idx="5">
                  <c:v>Russia</c:v>
                </c:pt>
                <c:pt idx="6">
                  <c:v>UK</c:v>
                </c:pt>
                <c:pt idx="7">
                  <c:v>USA</c:v>
                </c:pt>
              </c:strCache>
            </c:strRef>
          </c:cat>
          <c:val>
            <c:numRef>
              <c:f>Pivot_Tables!$J$4:$J$12</c:f>
              <c:numCache>
                <c:formatCode>#,##0</c:formatCode>
                <c:ptCount val="8"/>
                <c:pt idx="0">
                  <c:v>903269218</c:v>
                </c:pt>
                <c:pt idx="1">
                  <c:v>2093744803</c:v>
                </c:pt>
                <c:pt idx="2">
                  <c:v>1863953440</c:v>
                </c:pt>
                <c:pt idx="3">
                  <c:v>2135171328</c:v>
                </c:pt>
                <c:pt idx="4">
                  <c:v>2216032499</c:v>
                </c:pt>
                <c:pt idx="5">
                  <c:v>1181212771</c:v>
                </c:pt>
                <c:pt idx="6">
                  <c:v>930154750</c:v>
                </c:pt>
                <c:pt idx="7">
                  <c:v>1045825243</c:v>
                </c:pt>
              </c:numCache>
            </c:numRef>
          </c:val>
          <c:extLst>
            <c:ext xmlns:c16="http://schemas.microsoft.com/office/drawing/2014/chart" uri="{C3380CC4-5D6E-409C-BE32-E72D297353CC}">
              <c16:uniqueId val="{00000001-CEF2-46D9-A72A-835E8D83E66D}"/>
            </c:ext>
          </c:extLst>
        </c:ser>
        <c:dLbls>
          <c:dLblPos val="outEnd"/>
          <c:showLegendKey val="0"/>
          <c:showVal val="0"/>
          <c:showCatName val="0"/>
          <c:showSerName val="0"/>
          <c:showPercent val="0"/>
          <c:showBubbleSize val="0"/>
        </c:dLbls>
        <c:gapWidth val="219"/>
        <c:overlap val="-27"/>
        <c:axId val="524395152"/>
        <c:axId val="524396112"/>
      </c:barChart>
      <c:catAx>
        <c:axId val="52439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96112"/>
        <c:crosses val="autoZero"/>
        <c:auto val="1"/>
        <c:lblAlgn val="ctr"/>
        <c:lblOffset val="100"/>
        <c:noMultiLvlLbl val="0"/>
      </c:catAx>
      <c:valAx>
        <c:axId val="524396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9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[COVID19_Worldwide_Data_Analysis.xlsx]Active Cases Trend!PivotTable13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Cases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'Active Cases Trend'!$B$3</c:f>
              <c:strCache>
                <c:ptCount val="1"/>
                <c:pt idx="0">
                  <c:v>Total</c:v>
                </c:pt>
              </c:strCache>
            </c:strRef>
          </c:tx>
          <c:spPr>
            <a:solidFill>
              <a:schemeClr val="accent1"/>
            </a:solidFill>
            <a:ln>
              <a:noFill/>
            </a:ln>
            <a:effectLst/>
          </c:spPr>
          <c:cat>
            <c:strRef>
              <c:f>'Active Cases Trend'!$A$4:$A$154</c:f>
              <c:strCache>
                <c:ptCount val="150"/>
                <c:pt idx="0">
                  <c:v>2021-01-01</c:v>
                </c:pt>
                <c:pt idx="1">
                  <c:v>2021-01-02</c:v>
                </c:pt>
                <c:pt idx="2">
                  <c:v>2021-01-03</c:v>
                </c:pt>
                <c:pt idx="3">
                  <c:v>2021-01-04</c:v>
                </c:pt>
                <c:pt idx="4">
                  <c:v>2021-01-05</c:v>
                </c:pt>
                <c:pt idx="5">
                  <c:v>2021-01-06</c:v>
                </c:pt>
                <c:pt idx="6">
                  <c:v>2021-01-07</c:v>
                </c:pt>
                <c:pt idx="7">
                  <c:v>2021-01-08</c:v>
                </c:pt>
                <c:pt idx="8">
                  <c:v>2021-01-09</c:v>
                </c:pt>
                <c:pt idx="9">
                  <c:v>2021-01-10</c:v>
                </c:pt>
                <c:pt idx="10">
                  <c:v>2021-01-11</c:v>
                </c:pt>
                <c:pt idx="11">
                  <c:v>2021-01-12</c:v>
                </c:pt>
                <c:pt idx="12">
                  <c:v>2021-01-13</c:v>
                </c:pt>
                <c:pt idx="13">
                  <c:v>2021-01-14</c:v>
                </c:pt>
                <c:pt idx="14">
                  <c:v>2021-01-15</c:v>
                </c:pt>
                <c:pt idx="15">
                  <c:v>2021-01-16</c:v>
                </c:pt>
                <c:pt idx="16">
                  <c:v>2021-01-17</c:v>
                </c:pt>
                <c:pt idx="17">
                  <c:v>2021-01-18</c:v>
                </c:pt>
                <c:pt idx="18">
                  <c:v>2021-01-19</c:v>
                </c:pt>
                <c:pt idx="19">
                  <c:v>2021-01-20</c:v>
                </c:pt>
                <c:pt idx="20">
                  <c:v>2021-01-21</c:v>
                </c:pt>
                <c:pt idx="21">
                  <c:v>2021-01-22</c:v>
                </c:pt>
                <c:pt idx="22">
                  <c:v>2021-01-23</c:v>
                </c:pt>
                <c:pt idx="23">
                  <c:v>2021-01-24</c:v>
                </c:pt>
                <c:pt idx="24">
                  <c:v>2021-01-25</c:v>
                </c:pt>
                <c:pt idx="25">
                  <c:v>2021-01-26</c:v>
                </c:pt>
                <c:pt idx="26">
                  <c:v>2021-01-27</c:v>
                </c:pt>
                <c:pt idx="27">
                  <c:v>2021-01-28</c:v>
                </c:pt>
                <c:pt idx="28">
                  <c:v>2021-01-29</c:v>
                </c:pt>
                <c:pt idx="29">
                  <c:v>2021-01-30</c:v>
                </c:pt>
                <c:pt idx="30">
                  <c:v>2021-01-31</c:v>
                </c:pt>
                <c:pt idx="31">
                  <c:v>2021-02-01</c:v>
                </c:pt>
                <c:pt idx="32">
                  <c:v>2021-02-02</c:v>
                </c:pt>
                <c:pt idx="33">
                  <c:v>2021-02-03</c:v>
                </c:pt>
                <c:pt idx="34">
                  <c:v>2021-02-04</c:v>
                </c:pt>
                <c:pt idx="35">
                  <c:v>2021-02-05</c:v>
                </c:pt>
                <c:pt idx="36">
                  <c:v>2021-02-06</c:v>
                </c:pt>
                <c:pt idx="37">
                  <c:v>2021-02-07</c:v>
                </c:pt>
                <c:pt idx="38">
                  <c:v>2021-02-08</c:v>
                </c:pt>
                <c:pt idx="39">
                  <c:v>2021-02-09</c:v>
                </c:pt>
                <c:pt idx="40">
                  <c:v>2021-02-10</c:v>
                </c:pt>
                <c:pt idx="41">
                  <c:v>2021-02-11</c:v>
                </c:pt>
                <c:pt idx="42">
                  <c:v>2021-02-12</c:v>
                </c:pt>
                <c:pt idx="43">
                  <c:v>2021-02-13</c:v>
                </c:pt>
                <c:pt idx="44">
                  <c:v>2021-02-14</c:v>
                </c:pt>
                <c:pt idx="45">
                  <c:v>2021-02-15</c:v>
                </c:pt>
                <c:pt idx="46">
                  <c:v>2021-02-16</c:v>
                </c:pt>
                <c:pt idx="47">
                  <c:v>2021-02-17</c:v>
                </c:pt>
                <c:pt idx="48">
                  <c:v>2021-02-18</c:v>
                </c:pt>
                <c:pt idx="49">
                  <c:v>2021-02-19</c:v>
                </c:pt>
                <c:pt idx="50">
                  <c:v>2021-02-20</c:v>
                </c:pt>
                <c:pt idx="51">
                  <c:v>2021-02-21</c:v>
                </c:pt>
                <c:pt idx="52">
                  <c:v>2021-02-22</c:v>
                </c:pt>
                <c:pt idx="53">
                  <c:v>2021-02-23</c:v>
                </c:pt>
                <c:pt idx="54">
                  <c:v>2021-02-24</c:v>
                </c:pt>
                <c:pt idx="55">
                  <c:v>2021-02-25</c:v>
                </c:pt>
                <c:pt idx="56">
                  <c:v>2021-02-26</c:v>
                </c:pt>
                <c:pt idx="57">
                  <c:v>2021-02-27</c:v>
                </c:pt>
                <c:pt idx="58">
                  <c:v>2021-02-28</c:v>
                </c:pt>
                <c:pt idx="59">
                  <c:v>2021-03-01</c:v>
                </c:pt>
                <c:pt idx="60">
                  <c:v>2021-03-02</c:v>
                </c:pt>
                <c:pt idx="61">
                  <c:v>2021-03-03</c:v>
                </c:pt>
                <c:pt idx="62">
                  <c:v>2021-03-04</c:v>
                </c:pt>
                <c:pt idx="63">
                  <c:v>2021-03-05</c:v>
                </c:pt>
                <c:pt idx="64">
                  <c:v>2021-03-06</c:v>
                </c:pt>
                <c:pt idx="65">
                  <c:v>2021-03-07</c:v>
                </c:pt>
                <c:pt idx="66">
                  <c:v>2021-03-08</c:v>
                </c:pt>
                <c:pt idx="67">
                  <c:v>2021-03-09</c:v>
                </c:pt>
                <c:pt idx="68">
                  <c:v>2021-03-10</c:v>
                </c:pt>
                <c:pt idx="69">
                  <c:v>2021-03-11</c:v>
                </c:pt>
                <c:pt idx="70">
                  <c:v>2021-03-12</c:v>
                </c:pt>
                <c:pt idx="71">
                  <c:v>2021-03-13</c:v>
                </c:pt>
                <c:pt idx="72">
                  <c:v>2021-03-14</c:v>
                </c:pt>
                <c:pt idx="73">
                  <c:v>2021-03-15</c:v>
                </c:pt>
                <c:pt idx="74">
                  <c:v>2021-03-16</c:v>
                </c:pt>
                <c:pt idx="75">
                  <c:v>2021-03-17</c:v>
                </c:pt>
                <c:pt idx="76">
                  <c:v>2021-03-18</c:v>
                </c:pt>
                <c:pt idx="77">
                  <c:v>2021-03-19</c:v>
                </c:pt>
                <c:pt idx="78">
                  <c:v>2021-03-20</c:v>
                </c:pt>
                <c:pt idx="79">
                  <c:v>2021-03-21</c:v>
                </c:pt>
                <c:pt idx="80">
                  <c:v>2021-03-22</c:v>
                </c:pt>
                <c:pt idx="81">
                  <c:v>2021-03-23</c:v>
                </c:pt>
                <c:pt idx="82">
                  <c:v>2021-03-24</c:v>
                </c:pt>
                <c:pt idx="83">
                  <c:v>2021-03-25</c:v>
                </c:pt>
                <c:pt idx="84">
                  <c:v>2021-03-26</c:v>
                </c:pt>
                <c:pt idx="85">
                  <c:v>2021-03-27</c:v>
                </c:pt>
                <c:pt idx="86">
                  <c:v>2021-03-28</c:v>
                </c:pt>
                <c:pt idx="87">
                  <c:v>2021-03-29</c:v>
                </c:pt>
                <c:pt idx="88">
                  <c:v>2021-03-30</c:v>
                </c:pt>
                <c:pt idx="89">
                  <c:v>2021-03-31</c:v>
                </c:pt>
                <c:pt idx="90">
                  <c:v>2021-04-01</c:v>
                </c:pt>
                <c:pt idx="91">
                  <c:v>2021-04-02</c:v>
                </c:pt>
                <c:pt idx="92">
                  <c:v>2021-04-03</c:v>
                </c:pt>
                <c:pt idx="93">
                  <c:v>2021-04-04</c:v>
                </c:pt>
                <c:pt idx="94">
                  <c:v>2021-04-05</c:v>
                </c:pt>
                <c:pt idx="95">
                  <c:v>2021-04-06</c:v>
                </c:pt>
                <c:pt idx="96">
                  <c:v>2021-04-07</c:v>
                </c:pt>
                <c:pt idx="97">
                  <c:v>2021-04-08</c:v>
                </c:pt>
                <c:pt idx="98">
                  <c:v>2021-04-09</c:v>
                </c:pt>
                <c:pt idx="99">
                  <c:v>2021-04-10</c:v>
                </c:pt>
                <c:pt idx="100">
                  <c:v>2021-04-11</c:v>
                </c:pt>
                <c:pt idx="101">
                  <c:v>2021-04-12</c:v>
                </c:pt>
                <c:pt idx="102">
                  <c:v>2021-04-13</c:v>
                </c:pt>
                <c:pt idx="103">
                  <c:v>2021-04-14</c:v>
                </c:pt>
                <c:pt idx="104">
                  <c:v>2021-04-15</c:v>
                </c:pt>
                <c:pt idx="105">
                  <c:v>2021-04-16</c:v>
                </c:pt>
                <c:pt idx="106">
                  <c:v>2021-04-17</c:v>
                </c:pt>
                <c:pt idx="107">
                  <c:v>2021-04-18</c:v>
                </c:pt>
                <c:pt idx="108">
                  <c:v>2021-04-19</c:v>
                </c:pt>
                <c:pt idx="109">
                  <c:v>2021-04-20</c:v>
                </c:pt>
                <c:pt idx="110">
                  <c:v>2021-04-21</c:v>
                </c:pt>
                <c:pt idx="111">
                  <c:v>2021-04-22</c:v>
                </c:pt>
                <c:pt idx="112">
                  <c:v>2021-04-23</c:v>
                </c:pt>
                <c:pt idx="113">
                  <c:v>2021-04-24</c:v>
                </c:pt>
                <c:pt idx="114">
                  <c:v>2021-04-25</c:v>
                </c:pt>
                <c:pt idx="115">
                  <c:v>2021-04-26</c:v>
                </c:pt>
                <c:pt idx="116">
                  <c:v>2021-04-27</c:v>
                </c:pt>
                <c:pt idx="117">
                  <c:v>2021-04-28</c:v>
                </c:pt>
                <c:pt idx="118">
                  <c:v>2021-04-29</c:v>
                </c:pt>
                <c:pt idx="119">
                  <c:v>2021-04-30</c:v>
                </c:pt>
                <c:pt idx="120">
                  <c:v>2021-05-01</c:v>
                </c:pt>
                <c:pt idx="121">
                  <c:v>2021-05-02</c:v>
                </c:pt>
                <c:pt idx="122">
                  <c:v>2021-05-03</c:v>
                </c:pt>
                <c:pt idx="123">
                  <c:v>2021-05-04</c:v>
                </c:pt>
                <c:pt idx="124">
                  <c:v>2021-05-05</c:v>
                </c:pt>
                <c:pt idx="125">
                  <c:v>2021-05-06</c:v>
                </c:pt>
                <c:pt idx="126">
                  <c:v>2021-05-07</c:v>
                </c:pt>
                <c:pt idx="127">
                  <c:v>2021-05-08</c:v>
                </c:pt>
                <c:pt idx="128">
                  <c:v>2021-05-09</c:v>
                </c:pt>
                <c:pt idx="129">
                  <c:v>2021-05-10</c:v>
                </c:pt>
                <c:pt idx="130">
                  <c:v>2021-05-11</c:v>
                </c:pt>
                <c:pt idx="131">
                  <c:v>2021-05-12</c:v>
                </c:pt>
                <c:pt idx="132">
                  <c:v>2021-05-13</c:v>
                </c:pt>
                <c:pt idx="133">
                  <c:v>2021-05-14</c:v>
                </c:pt>
                <c:pt idx="134">
                  <c:v>2021-05-15</c:v>
                </c:pt>
                <c:pt idx="135">
                  <c:v>2021-05-16</c:v>
                </c:pt>
                <c:pt idx="136">
                  <c:v>2021-05-17</c:v>
                </c:pt>
                <c:pt idx="137">
                  <c:v>2021-05-18</c:v>
                </c:pt>
                <c:pt idx="138">
                  <c:v>2021-05-19</c:v>
                </c:pt>
                <c:pt idx="139">
                  <c:v>2021-05-20</c:v>
                </c:pt>
                <c:pt idx="140">
                  <c:v>2021-05-21</c:v>
                </c:pt>
                <c:pt idx="141">
                  <c:v>2021-05-22</c:v>
                </c:pt>
                <c:pt idx="142">
                  <c:v>2021-05-23</c:v>
                </c:pt>
                <c:pt idx="143">
                  <c:v>2021-05-24</c:v>
                </c:pt>
                <c:pt idx="144">
                  <c:v>2021-05-25</c:v>
                </c:pt>
                <c:pt idx="145">
                  <c:v>2021-05-26</c:v>
                </c:pt>
                <c:pt idx="146">
                  <c:v>2021-05-27</c:v>
                </c:pt>
                <c:pt idx="147">
                  <c:v>2021-05-28</c:v>
                </c:pt>
                <c:pt idx="148">
                  <c:v>2021-05-29</c:v>
                </c:pt>
                <c:pt idx="149">
                  <c:v>2021-05-30</c:v>
                </c:pt>
              </c:strCache>
            </c:strRef>
          </c:cat>
          <c:val>
            <c:numRef>
              <c:f>'Active Cases Trend'!$B$4:$B$154</c:f>
              <c:numCache>
                <c:formatCode>0;[Red]0</c:formatCode>
                <c:ptCount val="150"/>
                <c:pt idx="0">
                  <c:v>9131656</c:v>
                </c:pt>
                <c:pt idx="1">
                  <c:v>8961902</c:v>
                </c:pt>
                <c:pt idx="2">
                  <c:v>10128459</c:v>
                </c:pt>
                <c:pt idx="3">
                  <c:v>8167572</c:v>
                </c:pt>
                <c:pt idx="4">
                  <c:v>10750412</c:v>
                </c:pt>
                <c:pt idx="5">
                  <c:v>8810077</c:v>
                </c:pt>
                <c:pt idx="6">
                  <c:v>11035844</c:v>
                </c:pt>
                <c:pt idx="7">
                  <c:v>7931372</c:v>
                </c:pt>
                <c:pt idx="8">
                  <c:v>10608551</c:v>
                </c:pt>
                <c:pt idx="9">
                  <c:v>10757220</c:v>
                </c:pt>
                <c:pt idx="10">
                  <c:v>10079705</c:v>
                </c:pt>
                <c:pt idx="11">
                  <c:v>11980834</c:v>
                </c:pt>
                <c:pt idx="12">
                  <c:v>12059330</c:v>
                </c:pt>
                <c:pt idx="13">
                  <c:v>9960674</c:v>
                </c:pt>
                <c:pt idx="14">
                  <c:v>11689827</c:v>
                </c:pt>
                <c:pt idx="15">
                  <c:v>12168990</c:v>
                </c:pt>
                <c:pt idx="16">
                  <c:v>11681430</c:v>
                </c:pt>
                <c:pt idx="17">
                  <c:v>13812825</c:v>
                </c:pt>
                <c:pt idx="18">
                  <c:v>16637265</c:v>
                </c:pt>
                <c:pt idx="19">
                  <c:v>24745332</c:v>
                </c:pt>
                <c:pt idx="20">
                  <c:v>25924698</c:v>
                </c:pt>
                <c:pt idx="21">
                  <c:v>20936939</c:v>
                </c:pt>
                <c:pt idx="22">
                  <c:v>27719400</c:v>
                </c:pt>
                <c:pt idx="23">
                  <c:v>21614108</c:v>
                </c:pt>
                <c:pt idx="24">
                  <c:v>23514919</c:v>
                </c:pt>
                <c:pt idx="25">
                  <c:v>20965765</c:v>
                </c:pt>
                <c:pt idx="26">
                  <c:v>25353968</c:v>
                </c:pt>
                <c:pt idx="27">
                  <c:v>25414866</c:v>
                </c:pt>
                <c:pt idx="28">
                  <c:v>19769576</c:v>
                </c:pt>
                <c:pt idx="29">
                  <c:v>21035254</c:v>
                </c:pt>
                <c:pt idx="30">
                  <c:v>22939730</c:v>
                </c:pt>
                <c:pt idx="31">
                  <c:v>24961787</c:v>
                </c:pt>
                <c:pt idx="32">
                  <c:v>27867556</c:v>
                </c:pt>
                <c:pt idx="33">
                  <c:v>27091896</c:v>
                </c:pt>
                <c:pt idx="34">
                  <c:v>28350350</c:v>
                </c:pt>
                <c:pt idx="35">
                  <c:v>25820216</c:v>
                </c:pt>
                <c:pt idx="36">
                  <c:v>21153988</c:v>
                </c:pt>
                <c:pt idx="37">
                  <c:v>27964168</c:v>
                </c:pt>
                <c:pt idx="38">
                  <c:v>19178177</c:v>
                </c:pt>
                <c:pt idx="39">
                  <c:v>17164850</c:v>
                </c:pt>
                <c:pt idx="40">
                  <c:v>21035933</c:v>
                </c:pt>
                <c:pt idx="41">
                  <c:v>16374767</c:v>
                </c:pt>
                <c:pt idx="42">
                  <c:v>20612253</c:v>
                </c:pt>
                <c:pt idx="43">
                  <c:v>21899950</c:v>
                </c:pt>
                <c:pt idx="44">
                  <c:v>21098758</c:v>
                </c:pt>
                <c:pt idx="45">
                  <c:v>24404057</c:v>
                </c:pt>
                <c:pt idx="46">
                  <c:v>22384434</c:v>
                </c:pt>
                <c:pt idx="47">
                  <c:v>26751447</c:v>
                </c:pt>
                <c:pt idx="48">
                  <c:v>19160412</c:v>
                </c:pt>
                <c:pt idx="49">
                  <c:v>26681663</c:v>
                </c:pt>
                <c:pt idx="50">
                  <c:v>27911226</c:v>
                </c:pt>
                <c:pt idx="51">
                  <c:v>25947648</c:v>
                </c:pt>
                <c:pt idx="52">
                  <c:v>25261227</c:v>
                </c:pt>
                <c:pt idx="53">
                  <c:v>28334280</c:v>
                </c:pt>
                <c:pt idx="54">
                  <c:v>21239651</c:v>
                </c:pt>
                <c:pt idx="55">
                  <c:v>26957981</c:v>
                </c:pt>
                <c:pt idx="56">
                  <c:v>20522630</c:v>
                </c:pt>
                <c:pt idx="57">
                  <c:v>21343302</c:v>
                </c:pt>
                <c:pt idx="58">
                  <c:v>23807929</c:v>
                </c:pt>
                <c:pt idx="59">
                  <c:v>19093806</c:v>
                </c:pt>
                <c:pt idx="60">
                  <c:v>21517167</c:v>
                </c:pt>
                <c:pt idx="61">
                  <c:v>26218741</c:v>
                </c:pt>
                <c:pt idx="62">
                  <c:v>23131025</c:v>
                </c:pt>
                <c:pt idx="63">
                  <c:v>24679623</c:v>
                </c:pt>
                <c:pt idx="64">
                  <c:v>22207284</c:v>
                </c:pt>
                <c:pt idx="65">
                  <c:v>26157187</c:v>
                </c:pt>
                <c:pt idx="66">
                  <c:v>25865884</c:v>
                </c:pt>
                <c:pt idx="67">
                  <c:v>23638604</c:v>
                </c:pt>
                <c:pt idx="68">
                  <c:v>30917912</c:v>
                </c:pt>
                <c:pt idx="69">
                  <c:v>29411902</c:v>
                </c:pt>
                <c:pt idx="70">
                  <c:v>22425274</c:v>
                </c:pt>
                <c:pt idx="71">
                  <c:v>29073245</c:v>
                </c:pt>
                <c:pt idx="72">
                  <c:v>26350465</c:v>
                </c:pt>
                <c:pt idx="73">
                  <c:v>24838764</c:v>
                </c:pt>
                <c:pt idx="74">
                  <c:v>36802030</c:v>
                </c:pt>
                <c:pt idx="75">
                  <c:v>26940643</c:v>
                </c:pt>
                <c:pt idx="76">
                  <c:v>24448289</c:v>
                </c:pt>
                <c:pt idx="77">
                  <c:v>20732422</c:v>
                </c:pt>
                <c:pt idx="78">
                  <c:v>21003947</c:v>
                </c:pt>
                <c:pt idx="79">
                  <c:v>25958997</c:v>
                </c:pt>
                <c:pt idx="80">
                  <c:v>28271986</c:v>
                </c:pt>
                <c:pt idx="81">
                  <c:v>26469630</c:v>
                </c:pt>
                <c:pt idx="82">
                  <c:v>26396673</c:v>
                </c:pt>
                <c:pt idx="83">
                  <c:v>30148686</c:v>
                </c:pt>
                <c:pt idx="84">
                  <c:v>25080551</c:v>
                </c:pt>
                <c:pt idx="85">
                  <c:v>28760954</c:v>
                </c:pt>
                <c:pt idx="86">
                  <c:v>25045426</c:v>
                </c:pt>
                <c:pt idx="87">
                  <c:v>30221630</c:v>
                </c:pt>
                <c:pt idx="88">
                  <c:v>28198054</c:v>
                </c:pt>
                <c:pt idx="89">
                  <c:v>28562653</c:v>
                </c:pt>
                <c:pt idx="90">
                  <c:v>34030314</c:v>
                </c:pt>
                <c:pt idx="91">
                  <c:v>30162051</c:v>
                </c:pt>
                <c:pt idx="92">
                  <c:v>31448613</c:v>
                </c:pt>
                <c:pt idx="93">
                  <c:v>26263390</c:v>
                </c:pt>
                <c:pt idx="94">
                  <c:v>11375342</c:v>
                </c:pt>
                <c:pt idx="95">
                  <c:v>11849045</c:v>
                </c:pt>
                <c:pt idx="96">
                  <c:v>13579792</c:v>
                </c:pt>
                <c:pt idx="97">
                  <c:v>13029324</c:v>
                </c:pt>
                <c:pt idx="98">
                  <c:v>10675155</c:v>
                </c:pt>
                <c:pt idx="99">
                  <c:v>12106628</c:v>
                </c:pt>
                <c:pt idx="100">
                  <c:v>11446660</c:v>
                </c:pt>
                <c:pt idx="101">
                  <c:v>14413288</c:v>
                </c:pt>
                <c:pt idx="102">
                  <c:v>11653269</c:v>
                </c:pt>
                <c:pt idx="103">
                  <c:v>11995763</c:v>
                </c:pt>
                <c:pt idx="104">
                  <c:v>16491650</c:v>
                </c:pt>
                <c:pt idx="105">
                  <c:v>10994950</c:v>
                </c:pt>
                <c:pt idx="106">
                  <c:v>16481973</c:v>
                </c:pt>
                <c:pt idx="107">
                  <c:v>14525008</c:v>
                </c:pt>
                <c:pt idx="108">
                  <c:v>17650849</c:v>
                </c:pt>
                <c:pt idx="109">
                  <c:v>15048743</c:v>
                </c:pt>
                <c:pt idx="110">
                  <c:v>15072897</c:v>
                </c:pt>
                <c:pt idx="111">
                  <c:v>13612612</c:v>
                </c:pt>
                <c:pt idx="112">
                  <c:v>13933560</c:v>
                </c:pt>
                <c:pt idx="113">
                  <c:v>7493963</c:v>
                </c:pt>
                <c:pt idx="114">
                  <c:v>8244523</c:v>
                </c:pt>
                <c:pt idx="115">
                  <c:v>10808065</c:v>
                </c:pt>
                <c:pt idx="116">
                  <c:v>10486547</c:v>
                </c:pt>
                <c:pt idx="117">
                  <c:v>8805297</c:v>
                </c:pt>
                <c:pt idx="118">
                  <c:v>8965207</c:v>
                </c:pt>
                <c:pt idx="119">
                  <c:v>11272200</c:v>
                </c:pt>
                <c:pt idx="120">
                  <c:v>10405880</c:v>
                </c:pt>
                <c:pt idx="121">
                  <c:v>10758301</c:v>
                </c:pt>
                <c:pt idx="122">
                  <c:v>10927605</c:v>
                </c:pt>
                <c:pt idx="123">
                  <c:v>13906971</c:v>
                </c:pt>
                <c:pt idx="124">
                  <c:v>10104973</c:v>
                </c:pt>
                <c:pt idx="125">
                  <c:v>11048007</c:v>
                </c:pt>
                <c:pt idx="126">
                  <c:v>11434811</c:v>
                </c:pt>
                <c:pt idx="127">
                  <c:v>11776403</c:v>
                </c:pt>
                <c:pt idx="128">
                  <c:v>11824860</c:v>
                </c:pt>
                <c:pt idx="129">
                  <c:v>15898562</c:v>
                </c:pt>
                <c:pt idx="130">
                  <c:v>13609054</c:v>
                </c:pt>
                <c:pt idx="131">
                  <c:v>11623395</c:v>
                </c:pt>
                <c:pt idx="132">
                  <c:v>10546278</c:v>
                </c:pt>
                <c:pt idx="133">
                  <c:v>10790036</c:v>
                </c:pt>
                <c:pt idx="134">
                  <c:v>9768170</c:v>
                </c:pt>
                <c:pt idx="135">
                  <c:v>10846911</c:v>
                </c:pt>
                <c:pt idx="136">
                  <c:v>9516725</c:v>
                </c:pt>
                <c:pt idx="137">
                  <c:v>12050137</c:v>
                </c:pt>
                <c:pt idx="138">
                  <c:v>11382022</c:v>
                </c:pt>
                <c:pt idx="139">
                  <c:v>9532026</c:v>
                </c:pt>
                <c:pt idx="140">
                  <c:v>12708693</c:v>
                </c:pt>
                <c:pt idx="141">
                  <c:v>12693648</c:v>
                </c:pt>
                <c:pt idx="142">
                  <c:v>11257362</c:v>
                </c:pt>
                <c:pt idx="143">
                  <c:v>14919320</c:v>
                </c:pt>
                <c:pt idx="144">
                  <c:v>13882800</c:v>
                </c:pt>
                <c:pt idx="145">
                  <c:v>13708813</c:v>
                </c:pt>
                <c:pt idx="146">
                  <c:v>17458018</c:v>
                </c:pt>
                <c:pt idx="147">
                  <c:v>11598485</c:v>
                </c:pt>
                <c:pt idx="148">
                  <c:v>15644379</c:v>
                </c:pt>
                <c:pt idx="149">
                  <c:v>12841889</c:v>
                </c:pt>
              </c:numCache>
            </c:numRef>
          </c:val>
          <c:extLst>
            <c:ext xmlns:c16="http://schemas.microsoft.com/office/drawing/2014/chart" uri="{C3380CC4-5D6E-409C-BE32-E72D297353CC}">
              <c16:uniqueId val="{00000000-F6D0-4C8B-B942-6116F3A2DE35}"/>
            </c:ext>
          </c:extLst>
        </c:ser>
        <c:dLbls>
          <c:showLegendKey val="0"/>
          <c:showVal val="0"/>
          <c:showCatName val="0"/>
          <c:showSerName val="0"/>
          <c:showPercent val="0"/>
          <c:showBubbleSize val="0"/>
        </c:dLbls>
        <c:axId val="505008992"/>
        <c:axId val="505007552"/>
      </c:areaChart>
      <c:catAx>
        <c:axId val="50500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07552"/>
        <c:crosses val="autoZero"/>
        <c:auto val="1"/>
        <c:lblAlgn val="ctr"/>
        <c:lblOffset val="100"/>
        <c:noMultiLvlLbl val="0"/>
      </c:catAx>
      <c:valAx>
        <c:axId val="505007552"/>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008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426720</xdr:colOff>
      <xdr:row>6</xdr:row>
      <xdr:rowOff>148590</xdr:rowOff>
    </xdr:from>
    <xdr:to>
      <xdr:col>12</xdr:col>
      <xdr:colOff>556260</xdr:colOff>
      <xdr:row>24</xdr:row>
      <xdr:rowOff>68580</xdr:rowOff>
    </xdr:to>
    <xdr:graphicFrame macro="">
      <xdr:nvGraphicFramePr>
        <xdr:cNvPr id="2" name="Chart 1">
          <a:extLst>
            <a:ext uri="{FF2B5EF4-FFF2-40B4-BE49-F238E27FC236}">
              <a16:creationId xmlns:a16="http://schemas.microsoft.com/office/drawing/2014/main" id="{5404F005-6BA9-5A84-EE06-8A6893275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15</xdr:row>
      <xdr:rowOff>167640</xdr:rowOff>
    </xdr:to>
    <xdr:graphicFrame macro="">
      <xdr:nvGraphicFramePr>
        <xdr:cNvPr id="2" name="Chart 1">
          <a:extLst>
            <a:ext uri="{FF2B5EF4-FFF2-40B4-BE49-F238E27FC236}">
              <a16:creationId xmlns:a16="http://schemas.microsoft.com/office/drawing/2014/main" id="{7926A9ED-5E47-46B4-939E-D64068C88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0</xdr:rowOff>
    </xdr:from>
    <xdr:to>
      <xdr:col>16</xdr:col>
      <xdr:colOff>601980</xdr:colOff>
      <xdr:row>16</xdr:row>
      <xdr:rowOff>22860</xdr:rowOff>
    </xdr:to>
    <xdr:graphicFrame macro="">
      <xdr:nvGraphicFramePr>
        <xdr:cNvPr id="4" name="Chart 3">
          <a:extLst>
            <a:ext uri="{FF2B5EF4-FFF2-40B4-BE49-F238E27FC236}">
              <a16:creationId xmlns:a16="http://schemas.microsoft.com/office/drawing/2014/main" id="{AAD42061-E7E1-47DB-A9F6-85191F852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40005</xdr:colOff>
      <xdr:row>0</xdr:row>
      <xdr:rowOff>0</xdr:rowOff>
    </xdr:from>
    <xdr:to>
      <xdr:col>20</xdr:col>
      <xdr:colOff>40005</xdr:colOff>
      <xdr:row>13</xdr:row>
      <xdr:rowOff>114300</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6ACD693C-D045-410D-4520-899415EA883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403205"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95250</xdr:rowOff>
    </xdr:from>
    <xdr:to>
      <xdr:col>8</xdr:col>
      <xdr:colOff>276224</xdr:colOff>
      <xdr:row>36</xdr:row>
      <xdr:rowOff>28575</xdr:rowOff>
    </xdr:to>
    <xdr:graphicFrame macro="">
      <xdr:nvGraphicFramePr>
        <xdr:cNvPr id="10" name="Chart 9">
          <a:extLst>
            <a:ext uri="{FF2B5EF4-FFF2-40B4-BE49-F238E27FC236}">
              <a16:creationId xmlns:a16="http://schemas.microsoft.com/office/drawing/2014/main" id="{453F7A3A-4FA0-465C-A5FD-C8204407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335280</xdr:colOff>
      <xdr:row>17</xdr:row>
      <xdr:rowOff>152400</xdr:rowOff>
    </xdr:from>
    <xdr:to>
      <xdr:col>11</xdr:col>
      <xdr:colOff>335280</xdr:colOff>
      <xdr:row>31</xdr:row>
      <xdr:rowOff>85725</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086FA01E-5B32-FB84-E14B-02CAAB8523E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212080" y="32289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30480</xdr:rowOff>
    </xdr:from>
    <xdr:to>
      <xdr:col>5</xdr:col>
      <xdr:colOff>457200</xdr:colOff>
      <xdr:row>2</xdr:row>
      <xdr:rowOff>76200</xdr:rowOff>
    </xdr:to>
    <xdr:sp macro="" textlink="">
      <xdr:nvSpPr>
        <xdr:cNvPr id="2" name="Rectangle: Rounded Corners 1">
          <a:extLst>
            <a:ext uri="{FF2B5EF4-FFF2-40B4-BE49-F238E27FC236}">
              <a16:creationId xmlns:a16="http://schemas.microsoft.com/office/drawing/2014/main" id="{CA8D384C-DFD9-DEA2-3E99-99DC89C377FD}"/>
            </a:ext>
          </a:extLst>
        </xdr:cNvPr>
        <xdr:cNvSpPr/>
      </xdr:nvSpPr>
      <xdr:spPr>
        <a:xfrm>
          <a:off x="0" y="30480"/>
          <a:ext cx="3505200" cy="41148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COVID19 - WORLDWIDE ANALYSIS</a:t>
          </a:r>
        </a:p>
      </xdr:txBody>
    </xdr:sp>
    <xdr:clientData/>
  </xdr:twoCellAnchor>
  <xdr:twoCellAnchor>
    <xdr:from>
      <xdr:col>5</xdr:col>
      <xdr:colOff>571500</xdr:colOff>
      <xdr:row>0</xdr:row>
      <xdr:rowOff>30480</xdr:rowOff>
    </xdr:from>
    <xdr:to>
      <xdr:col>7</xdr:col>
      <xdr:colOff>312420</xdr:colOff>
      <xdr:row>3</xdr:row>
      <xdr:rowOff>7620</xdr:rowOff>
    </xdr:to>
    <xdr:sp macro="" textlink="">
      <xdr:nvSpPr>
        <xdr:cNvPr id="3" name="Rectangle: Rounded Corners 2">
          <a:extLst>
            <a:ext uri="{FF2B5EF4-FFF2-40B4-BE49-F238E27FC236}">
              <a16:creationId xmlns:a16="http://schemas.microsoft.com/office/drawing/2014/main" id="{F863E5DA-D77D-1754-D366-CEFDBFB6B703}"/>
            </a:ext>
          </a:extLst>
        </xdr:cNvPr>
        <xdr:cNvSpPr/>
      </xdr:nvSpPr>
      <xdr:spPr>
        <a:xfrm>
          <a:off x="3619500" y="30480"/>
          <a:ext cx="960120" cy="52578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Cases</a:t>
          </a:r>
        </a:p>
        <a:p>
          <a:pPr algn="l"/>
          <a:r>
            <a:rPr lang="en-IN" sz="1200" b="1" baseline="0">
              <a:solidFill>
                <a:schemeClr val="tx1"/>
              </a:solidFill>
            </a:rPr>
            <a:t>1543.90 Cr</a:t>
          </a:r>
        </a:p>
        <a:p>
          <a:pPr algn="l"/>
          <a:endParaRPr lang="en-IN" sz="1100" b="1">
            <a:solidFill>
              <a:schemeClr val="tx1"/>
            </a:solidFill>
          </a:endParaRPr>
        </a:p>
      </xdr:txBody>
    </xdr:sp>
    <xdr:clientData/>
  </xdr:twoCellAnchor>
  <xdr:twoCellAnchor>
    <xdr:from>
      <xdr:col>7</xdr:col>
      <xdr:colOff>419100</xdr:colOff>
      <xdr:row>0</xdr:row>
      <xdr:rowOff>22860</xdr:rowOff>
    </xdr:from>
    <xdr:to>
      <xdr:col>9</xdr:col>
      <xdr:colOff>213360</xdr:colOff>
      <xdr:row>2</xdr:row>
      <xdr:rowOff>175260</xdr:rowOff>
    </xdr:to>
    <xdr:sp macro="" textlink="">
      <xdr:nvSpPr>
        <xdr:cNvPr id="4" name="Rectangle: Rounded Corners 3">
          <a:extLst>
            <a:ext uri="{FF2B5EF4-FFF2-40B4-BE49-F238E27FC236}">
              <a16:creationId xmlns:a16="http://schemas.microsoft.com/office/drawing/2014/main" id="{38C60FE9-1E06-4C5B-A09E-B4FFB5E56EA6}"/>
            </a:ext>
          </a:extLst>
        </xdr:cNvPr>
        <xdr:cNvSpPr/>
      </xdr:nvSpPr>
      <xdr:spPr>
        <a:xfrm>
          <a:off x="4686300" y="22860"/>
          <a:ext cx="1013460" cy="518160"/>
        </a:xfrm>
        <a:prstGeom prst="roundRect">
          <a:avLst/>
        </a:prstGeom>
        <a:solidFill>
          <a:srgbClr val="83EC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Recovered</a:t>
          </a:r>
        </a:p>
        <a:p>
          <a:pPr algn="l"/>
          <a:r>
            <a:rPr lang="en-IN" sz="1200" b="1">
              <a:solidFill>
                <a:sysClr val="windowText" lastClr="000000"/>
              </a:solidFill>
            </a:rPr>
            <a:t>1236.93 Cr</a:t>
          </a:r>
        </a:p>
      </xdr:txBody>
    </xdr:sp>
    <xdr:clientData/>
  </xdr:twoCellAnchor>
  <xdr:twoCellAnchor>
    <xdr:from>
      <xdr:col>9</xdr:col>
      <xdr:colOff>320040</xdr:colOff>
      <xdr:row>0</xdr:row>
      <xdr:rowOff>0</xdr:rowOff>
    </xdr:from>
    <xdr:to>
      <xdr:col>10</xdr:col>
      <xdr:colOff>487680</xdr:colOff>
      <xdr:row>2</xdr:row>
      <xdr:rowOff>160020</xdr:rowOff>
    </xdr:to>
    <xdr:sp macro="" textlink="">
      <xdr:nvSpPr>
        <xdr:cNvPr id="5" name="Rectangle: Rounded Corners 4">
          <a:extLst>
            <a:ext uri="{FF2B5EF4-FFF2-40B4-BE49-F238E27FC236}">
              <a16:creationId xmlns:a16="http://schemas.microsoft.com/office/drawing/2014/main" id="{7C7E4817-8D94-440B-A4D8-A3935A0989B5}"/>
            </a:ext>
          </a:extLst>
        </xdr:cNvPr>
        <xdr:cNvSpPr/>
      </xdr:nvSpPr>
      <xdr:spPr>
        <a:xfrm>
          <a:off x="5806440" y="0"/>
          <a:ext cx="777240" cy="525780"/>
        </a:xfrm>
        <a:prstGeom prst="roundRect">
          <a:avLst/>
        </a:prstGeom>
        <a:solidFill>
          <a:srgbClr val="FE7A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Deaths</a:t>
          </a:r>
        </a:p>
        <a:p>
          <a:pPr algn="l"/>
          <a:r>
            <a:rPr lang="en-IN" sz="1200" b="1">
              <a:solidFill>
                <a:sysClr val="windowText" lastClr="000000"/>
              </a:solidFill>
            </a:rPr>
            <a:t>30.50 Cr</a:t>
          </a:r>
        </a:p>
      </xdr:txBody>
    </xdr:sp>
    <xdr:clientData/>
  </xdr:twoCellAnchor>
  <xdr:twoCellAnchor>
    <xdr:from>
      <xdr:col>10</xdr:col>
      <xdr:colOff>586740</xdr:colOff>
      <xdr:row>0</xdr:row>
      <xdr:rowOff>0</xdr:rowOff>
    </xdr:from>
    <xdr:to>
      <xdr:col>11</xdr:col>
      <xdr:colOff>647700</xdr:colOff>
      <xdr:row>2</xdr:row>
      <xdr:rowOff>152400</xdr:rowOff>
    </xdr:to>
    <xdr:sp macro="" textlink="">
      <xdr:nvSpPr>
        <xdr:cNvPr id="6" name="Rectangle: Rounded Corners 5">
          <a:extLst>
            <a:ext uri="{FF2B5EF4-FFF2-40B4-BE49-F238E27FC236}">
              <a16:creationId xmlns:a16="http://schemas.microsoft.com/office/drawing/2014/main" id="{2FE3B614-FEDC-415C-9A4A-6B5AFF571826}"/>
            </a:ext>
          </a:extLst>
        </xdr:cNvPr>
        <xdr:cNvSpPr/>
      </xdr:nvSpPr>
      <xdr:spPr>
        <a:xfrm>
          <a:off x="6682740" y="0"/>
          <a:ext cx="845820" cy="518160"/>
        </a:xfrm>
        <a:prstGeom prst="roundRect">
          <a:avLst/>
        </a:prstGeom>
        <a:solidFill>
          <a:srgbClr val="EDF67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Active</a:t>
          </a:r>
        </a:p>
        <a:p>
          <a:pPr algn="l"/>
          <a:r>
            <a:rPr lang="en-IN" sz="1200" b="1">
              <a:solidFill>
                <a:sysClr val="windowText" lastClr="000000"/>
              </a:solidFill>
            </a:rPr>
            <a:t>276.45</a:t>
          </a:r>
          <a:r>
            <a:rPr lang="en-IN" sz="1200" b="1" baseline="0">
              <a:solidFill>
                <a:sysClr val="windowText" lastClr="000000"/>
              </a:solidFill>
            </a:rPr>
            <a:t> Cr</a:t>
          </a:r>
          <a:endParaRPr lang="en-IN" sz="1200" b="1">
            <a:solidFill>
              <a:sysClr val="windowText" lastClr="000000"/>
            </a:solidFill>
          </a:endParaRPr>
        </a:p>
      </xdr:txBody>
    </xdr:sp>
    <xdr:clientData/>
  </xdr:twoCellAnchor>
  <xdr:twoCellAnchor>
    <xdr:from>
      <xdr:col>4</xdr:col>
      <xdr:colOff>211668</xdr:colOff>
      <xdr:row>3</xdr:row>
      <xdr:rowOff>135467</xdr:rowOff>
    </xdr:from>
    <xdr:to>
      <xdr:col>11</xdr:col>
      <xdr:colOff>668868</xdr:colOff>
      <xdr:row>19</xdr:row>
      <xdr:rowOff>152400</xdr:rowOff>
    </xdr:to>
    <xdr:graphicFrame macro="">
      <xdr:nvGraphicFramePr>
        <xdr:cNvPr id="7" name="Chart 6">
          <a:extLst>
            <a:ext uri="{FF2B5EF4-FFF2-40B4-BE49-F238E27FC236}">
              <a16:creationId xmlns:a16="http://schemas.microsoft.com/office/drawing/2014/main" id="{FA3F37CF-8298-4970-9298-067189C45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686647</xdr:colOff>
      <xdr:row>3</xdr:row>
      <xdr:rowOff>159174</xdr:rowOff>
    </xdr:from>
    <xdr:to>
      <xdr:col>13</xdr:col>
      <xdr:colOff>118534</xdr:colOff>
      <xdr:row>15</xdr:row>
      <xdr:rowOff>160867</xdr:rowOff>
    </xdr:to>
    <mc:AlternateContent xmlns:mc="http://schemas.openxmlformats.org/markup-compatibility/2006">
      <mc:Choice xmlns:a14="http://schemas.microsoft.com/office/drawing/2010/main" Requires="a14">
        <xdr:graphicFrame macro="">
          <xdr:nvGraphicFramePr>
            <xdr:cNvPr id="8" name="Country 2">
              <a:extLst>
                <a:ext uri="{FF2B5EF4-FFF2-40B4-BE49-F238E27FC236}">
                  <a16:creationId xmlns:a16="http://schemas.microsoft.com/office/drawing/2014/main" id="{F1CA7EFB-E264-4698-BA51-04045AAD321A}"/>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7570047" y="717974"/>
              <a:ext cx="1404620" cy="244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3</xdr:row>
      <xdr:rowOff>110067</xdr:rowOff>
    </xdr:from>
    <xdr:to>
      <xdr:col>22</xdr:col>
      <xdr:colOff>67734</xdr:colOff>
      <xdr:row>19</xdr:row>
      <xdr:rowOff>135466</xdr:rowOff>
    </xdr:to>
    <xdr:graphicFrame macro="">
      <xdr:nvGraphicFramePr>
        <xdr:cNvPr id="9" name="Chart 8">
          <a:extLst>
            <a:ext uri="{FF2B5EF4-FFF2-40B4-BE49-F238E27FC236}">
              <a16:creationId xmlns:a16="http://schemas.microsoft.com/office/drawing/2014/main" id="{314093CA-42AD-496A-A813-EDF9CD805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211666</xdr:colOff>
      <xdr:row>20</xdr:row>
      <xdr:rowOff>33867</xdr:rowOff>
    </xdr:from>
    <xdr:to>
      <xdr:col>11</xdr:col>
      <xdr:colOff>739140</xdr:colOff>
      <xdr:row>37</xdr:row>
      <xdr:rowOff>112183</xdr:rowOff>
    </xdr:to>
    <xdr:graphicFrame macro="">
      <xdr:nvGraphicFramePr>
        <xdr:cNvPr id="10" name="Chart 9">
          <a:extLst>
            <a:ext uri="{FF2B5EF4-FFF2-40B4-BE49-F238E27FC236}">
              <a16:creationId xmlns:a16="http://schemas.microsoft.com/office/drawing/2014/main" id="{6EAA55FC-8E2B-486C-AA88-7C5AE2851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777240</xdr:colOff>
      <xdr:row>20</xdr:row>
      <xdr:rowOff>15240</xdr:rowOff>
    </xdr:from>
    <xdr:to>
      <xdr:col>13</xdr:col>
      <xdr:colOff>160020</xdr:colOff>
      <xdr:row>32</xdr:row>
      <xdr:rowOff>158115</xdr:rowOff>
    </xdr:to>
    <mc:AlternateContent xmlns:mc="http://schemas.openxmlformats.org/markup-compatibility/2006">
      <mc:Choice xmlns:a14="http://schemas.microsoft.com/office/drawing/2010/main" Requires="a14">
        <xdr:graphicFrame macro="">
          <xdr:nvGraphicFramePr>
            <xdr:cNvPr id="11" name="Country 3">
              <a:extLst>
                <a:ext uri="{FF2B5EF4-FFF2-40B4-BE49-F238E27FC236}">
                  <a16:creationId xmlns:a16="http://schemas.microsoft.com/office/drawing/2014/main" id="{DBCBB363-73BB-C1A2-75C3-C0CF9E93FE00}"/>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7660640" y="3994573"/>
              <a:ext cx="1355513"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600075</xdr:colOff>
      <xdr:row>19</xdr:row>
      <xdr:rowOff>142874</xdr:rowOff>
    </xdr:from>
    <xdr:to>
      <xdr:col>22</xdr:col>
      <xdr:colOff>238125</xdr:colOff>
      <xdr:row>37</xdr:row>
      <xdr:rowOff>114299</xdr:rowOff>
    </xdr:to>
    <xdr:graphicFrame macro="">
      <xdr:nvGraphicFramePr>
        <xdr:cNvPr id="12" name="Chart 11">
          <a:extLst>
            <a:ext uri="{FF2B5EF4-FFF2-40B4-BE49-F238E27FC236}">
              <a16:creationId xmlns:a16="http://schemas.microsoft.com/office/drawing/2014/main" id="{36F0C60E-FE58-438B-A7C7-27B260666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uth" refreshedDate="46134.803669791669" createdVersion="8" refreshedVersion="8" minRefreshableVersion="3" recordCount="1200" xr:uid="{FC5D0870-9CBC-4372-98C9-F57DA8BF9CC3}">
  <cacheSource type="worksheet">
    <worksheetSource name="Table3"/>
  </cacheSource>
  <cacheFields count="5">
    <cacheField name="Date" numFmtId="14">
      <sharedItems count="15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 v="2021-04-01"/>
        <s v="2021-04-02"/>
        <s v="2021-04-03"/>
        <s v="2021-04-04"/>
        <s v="2021-04-05"/>
        <s v="2021-04-06"/>
        <s v="2021-04-07"/>
        <s v="2021-04-08"/>
        <s v="2021-04-09"/>
        <s v="2021-04-10"/>
        <s v="2021-04-11"/>
        <s v="2021-04-12"/>
        <s v="2021-04-13"/>
        <s v="2021-04-14"/>
        <s v="2021-04-15"/>
        <s v="2021-04-16"/>
        <s v="2021-04-17"/>
        <s v="2021-04-18"/>
        <s v="2021-04-19"/>
        <s v="2021-04-20"/>
        <s v="2021-04-21"/>
        <s v="2021-04-22"/>
        <s v="2021-04-23"/>
        <s v="2021-04-24"/>
        <s v="2021-04-25"/>
        <s v="2021-04-26"/>
        <s v="2021-04-27"/>
        <s v="2021-04-28"/>
        <s v="2021-04-29"/>
        <s v="2021-04-30"/>
        <s v="2021-05-01"/>
        <s v="2021-05-02"/>
        <s v="2021-05-03"/>
        <s v="2021-05-04"/>
        <s v="2021-05-05"/>
        <s v="2021-05-06"/>
        <s v="2021-05-07"/>
        <s v="2021-05-08"/>
        <s v="2021-05-09"/>
        <s v="2021-05-10"/>
        <s v="2021-05-11"/>
        <s v="2021-05-12"/>
        <s v="2021-05-13"/>
        <s v="2021-05-14"/>
        <s v="2021-05-15"/>
        <s v="2021-05-16"/>
        <s v="2021-05-17"/>
        <s v="2021-05-18"/>
        <s v="2021-05-19"/>
        <s v="2021-05-20"/>
        <s v="2021-05-21"/>
        <s v="2021-05-22"/>
        <s v="2021-05-23"/>
        <s v="2021-05-24"/>
        <s v="2021-05-25"/>
        <s v="2021-05-26"/>
        <s v="2021-05-27"/>
        <s v="2021-05-28"/>
        <s v="2021-05-29"/>
        <s v="2021-05-30"/>
      </sharedItems>
    </cacheField>
    <cacheField name="Country" numFmtId="0">
      <sharedItems count="8">
        <s v="Brazil"/>
        <s v="France"/>
        <s v="Germany"/>
        <s v="India"/>
        <s v="Italy"/>
        <s v="Russia"/>
        <s v="UK"/>
        <s v="USA"/>
      </sharedItems>
    </cacheField>
    <cacheField name="Confirmed" numFmtId="0">
      <sharedItems containsSemiMixedTypes="0" containsString="0" containsNumber="1" containsInteger="1" minValue="5554230" maxValue="20675333"/>
    </cacheField>
    <cacheField name="Deaths" numFmtId="0">
      <sharedItems containsSemiMixedTypes="0" containsString="0" containsNumber="1" containsInteger="1" minValue="63054" maxValue="599540" count="1196">
        <n v="138559"/>
        <n v="158271"/>
        <n v="120264"/>
        <n v="133058"/>
        <n v="162536"/>
        <n v="89467"/>
        <n v="171318"/>
        <n v="102387"/>
        <n v="151121"/>
        <n v="112833"/>
        <n v="71058"/>
        <n v="153719"/>
        <n v="129581"/>
        <n v="81927"/>
        <n v="86686"/>
        <n v="145874"/>
        <n v="161011"/>
        <n v="177259"/>
        <n v="167215"/>
        <n v="145357"/>
        <n v="101127"/>
        <n v="140256"/>
        <n v="165742"/>
        <n v="108373"/>
        <n v="152462"/>
        <n v="77600"/>
        <n v="91035"/>
        <n v="167383"/>
        <n v="166863"/>
        <n v="181613"/>
        <n v="132918"/>
        <n v="128756"/>
        <n v="117302"/>
        <n v="76504"/>
        <n v="88679"/>
        <n v="103649"/>
        <n v="90986"/>
        <n v="151922"/>
        <n v="158227"/>
        <n v="120207"/>
        <n v="103733"/>
        <n v="190185"/>
        <n v="67242"/>
        <n v="84262"/>
        <n v="67937"/>
        <n v="153393"/>
        <n v="199059"/>
        <n v="140903"/>
        <n v="73476"/>
        <n v="136431"/>
        <n v="91819"/>
        <n v="109172"/>
        <n v="71235"/>
        <n v="180288"/>
        <n v="158579"/>
        <n v="121320"/>
        <n v="109406"/>
        <n v="179922"/>
        <n v="72617"/>
        <n v="106021"/>
        <n v="155062"/>
        <n v="128159"/>
        <n v="129009"/>
        <n v="158093"/>
        <n v="101165"/>
        <n v="173521"/>
        <n v="103361"/>
        <n v="207266"/>
        <n v="113472"/>
        <n v="100997"/>
        <n v="86858"/>
        <n v="211099"/>
        <n v="120353"/>
        <n v="110267"/>
        <n v="155662"/>
        <n v="170322"/>
        <n v="102104"/>
        <n v="100863"/>
        <n v="152321"/>
        <n v="176247"/>
        <n v="155579"/>
        <n v="225832"/>
        <n v="121859"/>
        <n v="165604"/>
        <n v="126304"/>
        <n v="182688"/>
        <n v="204570"/>
        <n v="90853"/>
        <n v="176857"/>
        <n v="168214"/>
        <n v="193272"/>
        <n v="174441"/>
        <n v="98238"/>
        <n v="148740"/>
        <n v="90537"/>
        <n v="110998"/>
        <n v="187805"/>
        <n v="195245"/>
        <n v="215786"/>
        <n v="138912"/>
        <n v="167393"/>
        <n v="93480"/>
        <n v="111516"/>
        <n v="217412"/>
        <n v="102115"/>
        <n v="178824"/>
        <n v="104283"/>
        <n v="173148"/>
        <n v="99127"/>
        <n v="191891"/>
        <n v="185444"/>
        <n v="93027"/>
        <n v="240903"/>
        <n v="228721"/>
        <n v="165175"/>
        <n v="143147"/>
        <n v="103589"/>
        <n v="213331"/>
        <n v="172095"/>
        <n v="239425"/>
        <n v="143112"/>
        <n v="146485"/>
        <n v="167326"/>
        <n v="238973"/>
        <n v="131283"/>
        <n v="158368"/>
        <n v="148094"/>
        <n v="170656"/>
        <n v="208710"/>
        <n v="175287"/>
        <n v="161413"/>
        <n v="176825"/>
        <n v="158827"/>
        <n v="203393"/>
        <n v="182080"/>
        <n v="144934"/>
        <n v="184831"/>
        <n v="171519"/>
        <n v="214132"/>
        <n v="196924"/>
        <n v="170871"/>
        <n v="184343"/>
        <n v="187939"/>
        <n v="136971"/>
        <n v="213084"/>
        <n v="240149"/>
        <n v="94154"/>
        <n v="270882"/>
        <n v="93803"/>
        <n v="156064"/>
        <n v="317297"/>
        <n v="359515"/>
        <n v="399127"/>
        <n v="418568"/>
        <n v="376310"/>
        <n v="182358"/>
        <n v="383273"/>
        <n v="192578"/>
        <n v="404463"/>
        <n v="369742"/>
        <n v="317395"/>
        <n v="386975"/>
        <n v="463692"/>
        <n v="465878"/>
        <n v="206167"/>
        <n v="413293"/>
        <n v="241952"/>
        <n v="441470"/>
        <n v="307940"/>
        <n v="206748"/>
        <n v="240933"/>
        <n v="441664"/>
        <n v="183704"/>
        <n v="312884"/>
        <n v="231474"/>
        <n v="419993"/>
        <n v="333221"/>
        <n v="385826"/>
        <n v="263788"/>
        <n v="307636"/>
        <n v="237365"/>
        <n v="179108"/>
        <n v="179236"/>
        <n v="356164"/>
        <n v="197664"/>
        <n v="354057"/>
        <n v="190550"/>
        <n v="201135"/>
        <n v="256899"/>
        <n v="295020"/>
        <n v="421719"/>
        <n v="363805"/>
        <n v="263908"/>
        <n v="498956"/>
        <n v="279329"/>
        <n v="499349"/>
        <n v="203414"/>
        <n v="252936"/>
        <n v="195838"/>
        <n v="419166"/>
        <n v="244222"/>
        <n v="504192"/>
        <n v="328785"/>
        <n v="384733"/>
        <n v="482406"/>
        <n v="445365"/>
        <n v="229951"/>
        <n v="211361"/>
        <n v="273858"/>
        <n v="461066"/>
        <n v="387820"/>
        <n v="424027"/>
        <n v="303547"/>
        <n v="301224"/>
        <n v="273772"/>
        <n v="474545"/>
        <n v="392299"/>
        <n v="181939"/>
        <n v="465008"/>
        <n v="269973"/>
        <n v="207119"/>
        <n v="351952"/>
        <n v="372628"/>
        <n v="455813"/>
        <n v="235707"/>
        <n v="246292"/>
        <n v="493365"/>
        <n v="295386"/>
        <n v="176054"/>
        <n v="478021"/>
        <n v="513835"/>
        <n v="244124"/>
        <n v="441307"/>
        <n v="180658"/>
        <n v="209861"/>
        <n v="424715"/>
        <n v="428695"/>
        <n v="220829"/>
        <n v="224944"/>
        <n v="530117"/>
        <n v="356198"/>
        <n v="199186"/>
        <n v="443976"/>
        <n v="341543"/>
        <n v="505578"/>
        <n v="206948"/>
        <n v="512496"/>
        <n v="320489"/>
        <n v="459371"/>
        <n v="470889"/>
        <n v="234209"/>
        <n v="406883"/>
        <n v="498382"/>
        <n v="441093"/>
        <n v="528704"/>
        <n v="339950"/>
        <n v="496832"/>
        <n v="290875"/>
        <n v="184786"/>
        <n v="365636"/>
        <n v="319242"/>
        <n v="405435"/>
        <n v="185277"/>
        <n v="205662"/>
        <n v="345394"/>
        <n v="540842"/>
        <n v="277688"/>
        <n v="436080"/>
        <n v="351249"/>
        <n v="310247"/>
        <n v="383656"/>
        <n v="365947"/>
        <n v="488315"/>
        <n v="247092"/>
        <n v="272204"/>
        <n v="252365"/>
        <n v="339309"/>
        <n v="529776"/>
        <n v="198024"/>
        <n v="546051"/>
        <n v="441890"/>
        <n v="350593"/>
        <n v="262866"/>
        <n v="395893"/>
        <n v="408766"/>
        <n v="361355"/>
        <n v="260124"/>
        <n v="338729"/>
        <n v="207647"/>
        <n v="474643"/>
        <n v="351306"/>
        <n v="328335"/>
        <n v="409563"/>
        <n v="289773"/>
        <n v="416165"/>
        <n v="250970"/>
        <n v="569536"/>
        <n v="554099"/>
        <n v="277093"/>
        <n v="463651"/>
        <n v="215556"/>
        <n v="408211"/>
        <n v="229343"/>
        <n v="305391"/>
        <n v="389810"/>
        <n v="370187"/>
        <n v="234638"/>
        <n v="325095"/>
        <n v="392271"/>
        <n v="184726"/>
        <n v="257834"/>
        <n v="383328"/>
        <n v="262514"/>
        <n v="145397"/>
        <n v="147919"/>
        <n v="341833"/>
        <n v="246769"/>
        <n v="147680"/>
        <n v="162116"/>
        <n v="304507"/>
        <n v="257299"/>
        <n v="301630"/>
        <n v="196543"/>
        <n v="157034"/>
        <n v="317615"/>
        <n v="289705"/>
        <n v="316612"/>
        <n v="153018"/>
        <n v="341494"/>
        <n v="151214"/>
        <n v="347564"/>
        <n v="147245"/>
        <n v="185004"/>
        <n v="375696"/>
        <n v="245714"/>
        <n v="317601"/>
        <n v="419139"/>
        <n v="160360"/>
        <n v="364399"/>
        <n v="364730"/>
        <n v="192565"/>
        <n v="298137"/>
        <n v="300365"/>
        <n v="233322"/>
        <n v="351352"/>
        <n v="407703"/>
        <n v="275224"/>
        <n v="443660"/>
        <n v="261188"/>
        <n v="318105"/>
        <n v="330709"/>
        <n v="317766"/>
        <n v="423950"/>
        <n v="417573"/>
        <n v="346082"/>
        <n v="426189"/>
        <n v="256735"/>
        <n v="365872"/>
        <n v="290450"/>
        <n v="397105"/>
        <n v="338545"/>
        <n v="275300"/>
        <n v="393384"/>
        <n v="292501"/>
        <n v="413372"/>
        <n v="438465"/>
        <n v="270866"/>
        <n v="169282"/>
        <n v="351101"/>
        <n v="273916"/>
        <n v="394858"/>
        <n v="378902"/>
        <n v="204349"/>
        <n v="460588"/>
        <n v="367897"/>
        <n v="275894"/>
        <n v="372428"/>
        <n v="321615"/>
        <n v="257827"/>
        <n v="258905"/>
        <n v="276341"/>
        <n v="409975"/>
        <n v="303339"/>
        <n v="383648"/>
        <n v="292560"/>
        <n v="390984"/>
        <n v="452571"/>
        <n v="168331"/>
        <n v="263957"/>
        <n v="424443"/>
        <n v="362972"/>
        <n v="178481"/>
        <n v="340196"/>
        <n v="301087"/>
        <n v="182384"/>
        <n v="432669"/>
        <n v="327564"/>
        <n v="269250"/>
        <n v="268316"/>
        <n v="487048"/>
        <n v="212403"/>
        <n v="197924"/>
        <n v="330439"/>
        <n v="271381"/>
        <n v="189269"/>
        <n v="282945"/>
        <n v="466559"/>
        <n v="191609"/>
        <n v="430915"/>
        <n v="363490"/>
        <n v="241958"/>
        <n v="489969"/>
        <n v="447463"/>
        <n v="334362"/>
        <n v="471647"/>
        <n v="221381"/>
        <n v="479615"/>
        <n v="442617"/>
        <n v="289188"/>
        <n v="419602"/>
        <n v="298751"/>
        <n v="399435"/>
        <n v="378424"/>
        <n v="478776"/>
        <n v="291862"/>
        <n v="229916"/>
        <n v="296184"/>
        <n v="170586"/>
        <n v="280093"/>
        <n v="194915"/>
        <n v="198614"/>
        <n v="366775"/>
        <n v="393425"/>
        <n v="354713"/>
        <n v="355583"/>
        <n v="457193"/>
        <n v="450060"/>
        <n v="298146"/>
        <n v="326832"/>
        <n v="314671"/>
        <n v="225268"/>
        <n v="313276"/>
        <n v="491306"/>
        <n v="381203"/>
        <n v="289695"/>
        <n v="306960"/>
        <n v="373508"/>
        <n v="206769"/>
        <n v="357362"/>
        <n v="225582"/>
        <n v="257360"/>
        <n v="427821"/>
        <n v="226671"/>
        <n v="378277"/>
        <n v="363664"/>
        <n v="409740"/>
        <n v="180655"/>
        <n v="255614"/>
        <n v="306899"/>
        <n v="482992"/>
        <n v="254610"/>
        <n v="486672"/>
        <n v="476956"/>
        <n v="185081"/>
        <n v="385152"/>
        <n v="437657"/>
        <n v="190974"/>
        <n v="433601"/>
        <n v="233039"/>
        <n v="171580"/>
        <n v="268966"/>
        <n v="407299"/>
        <n v="454439"/>
        <n v="379663"/>
        <n v="491212"/>
        <n v="208825"/>
        <n v="426814"/>
        <n v="487610"/>
        <n v="494685"/>
        <n v="337086"/>
        <n v="201975"/>
        <n v="432003"/>
        <n v="413961"/>
        <n v="230534"/>
        <n v="267141"/>
        <n v="420321"/>
        <n v="446167"/>
        <n v="421311"/>
        <n v="367613"/>
        <n v="447279"/>
        <n v="198307"/>
        <n v="332622"/>
        <n v="408294"/>
        <n v="366225"/>
        <n v="220227"/>
        <n v="331945"/>
        <n v="308916"/>
        <n v="437810"/>
        <n v="210121"/>
        <n v="374594"/>
        <n v="445512"/>
        <n v="432261"/>
        <n v="476506"/>
        <n v="376048"/>
        <n v="431211"/>
        <n v="493620"/>
        <n v="414007"/>
        <n v="456834"/>
        <n v="410403"/>
        <n v="449640"/>
        <n v="383714"/>
        <n v="264346"/>
        <n v="178549"/>
        <n v="435084"/>
        <n v="180985"/>
        <n v="284096"/>
        <n v="304557"/>
        <n v="403787"/>
        <n v="415101"/>
        <n v="299225"/>
        <n v="511483"/>
        <n v="288209"/>
        <n v="512052"/>
        <n v="215947"/>
        <n v="345041"/>
        <n v="494693"/>
        <n v="343242"/>
        <n v="267085"/>
        <n v="296863"/>
        <n v="228292"/>
        <n v="262707"/>
        <n v="483122"/>
        <n v="313777"/>
        <n v="449371"/>
        <n v="283997"/>
        <n v="225978"/>
        <n v="256831"/>
        <n v="185546"/>
        <n v="443142"/>
        <n v="252065"/>
        <n v="285200"/>
        <n v="365746"/>
        <n v="418781"/>
        <n v="279704"/>
        <n v="274621"/>
        <n v="322488"/>
        <n v="244205"/>
        <n v="193671"/>
        <n v="255164"/>
        <n v="218050"/>
        <n v="498682"/>
        <n v="198718"/>
        <n v="186850"/>
        <n v="269921"/>
        <n v="413794"/>
        <n v="376348"/>
        <n v="500567"/>
        <n v="449715"/>
        <n v="251796"/>
        <n v="238486"/>
        <n v="543365"/>
        <n v="456997"/>
        <n v="287216"/>
        <n v="195300"/>
        <n v="267733"/>
        <n v="330699"/>
        <n v="439675"/>
        <n v="358558"/>
        <n v="511189"/>
        <n v="541942"/>
        <n v="462014"/>
        <n v="560397"/>
        <n v="546200"/>
        <n v="472697"/>
        <n v="317335"/>
        <n v="272839"/>
        <n v="559616"/>
        <n v="478159"/>
        <n v="245509"/>
        <n v="462897"/>
        <n v="256671"/>
        <n v="572106"/>
        <n v="496024"/>
        <n v="459086"/>
        <n v="426205"/>
        <n v="394219"/>
        <n v="319423"/>
        <n v="570944"/>
        <n v="433198"/>
        <n v="404152"/>
        <n v="556749"/>
        <n v="425505"/>
        <n v="411106"/>
        <n v="258043"/>
        <n v="247857"/>
        <n v="198658"/>
        <n v="355748"/>
        <n v="203433"/>
        <n v="362729"/>
        <n v="335418"/>
        <n v="177769"/>
        <n v="347485"/>
        <n v="257233"/>
        <n v="314941"/>
        <n v="464784"/>
        <n v="208953"/>
        <n v="474256"/>
        <n v="434784"/>
        <n v="462475"/>
        <n v="337129"/>
        <n v="316662"/>
        <n v="488127"/>
        <n v="319379"/>
        <n v="467680"/>
        <n v="271499"/>
        <n v="487660"/>
        <n v="218736"/>
        <n v="402125"/>
        <n v="333091"/>
        <n v="496498"/>
        <n v="270706"/>
        <n v="228904"/>
        <n v="204698"/>
        <n v="224670"/>
        <n v="492848"/>
        <n v="178563"/>
        <n v="452997"/>
        <n v="359918"/>
        <n v="361611"/>
        <n v="238028"/>
        <n v="305761"/>
        <n v="460970"/>
        <n v="411412"/>
        <n v="206035"/>
        <n v="221107"/>
        <n v="271146"/>
        <n v="382228"/>
        <n v="250854"/>
        <n v="357645"/>
        <n v="517045"/>
        <n v="209064"/>
        <n v="334752"/>
        <n v="201213"/>
        <n v="303430"/>
        <n v="205095"/>
        <n v="482981"/>
        <n v="327865"/>
        <n v="520785"/>
        <n v="233734"/>
        <n v="468145"/>
        <n v="459953"/>
        <n v="515207"/>
        <n v="351369"/>
        <n v="332103"/>
        <n v="207165"/>
        <n v="237216"/>
        <n v="416226"/>
        <n v="271415"/>
        <n v="537522"/>
        <n v="196747"/>
        <n v="266208"/>
        <n v="215598"/>
        <n v="211063"/>
        <n v="328265"/>
        <n v="370527"/>
        <n v="443339"/>
        <n v="226011"/>
        <n v="291576"/>
        <n v="269497"/>
        <n v="316782"/>
        <n v="490841"/>
        <n v="311988"/>
        <n v="457838"/>
        <n v="346270"/>
        <n v="274625"/>
        <n v="482425"/>
        <n v="259554"/>
        <n v="471625"/>
        <n v="507796"/>
        <n v="227588"/>
        <n v="272596"/>
        <n v="265531"/>
        <n v="294247"/>
        <n v="440962"/>
        <n v="281073"/>
        <n v="326943"/>
        <n v="265485"/>
        <n v="519567"/>
        <n v="309584"/>
        <n v="207761"/>
        <n v="208519"/>
        <n v="520535"/>
        <n v="562131"/>
        <n v="412954"/>
        <n v="480101"/>
        <n v="290396"/>
        <n v="204277"/>
        <n v="215579"/>
        <n v="346640"/>
        <n v="470359"/>
        <n v="304752"/>
        <n v="539475"/>
        <n v="236741"/>
        <n v="303142"/>
        <n v="301697"/>
        <n v="211002"/>
        <n v="318434"/>
        <n v="541488"/>
        <n v="477783"/>
        <n v="288965"/>
        <n v="220356"/>
        <n v="313943"/>
        <n v="291643"/>
        <n v="369135"/>
        <n v="257287"/>
        <n v="486332"/>
        <n v="589237"/>
        <n v="313453"/>
        <n v="357100"/>
        <n v="277625"/>
        <n v="210292"/>
        <n v="433033"/>
        <n v="289986"/>
        <n v="342358"/>
        <n v="530900"/>
        <n v="381060"/>
        <n v="259211"/>
        <n v="451052"/>
        <n v="205901"/>
        <n v="440386"/>
        <n v="447526"/>
        <n v="330804"/>
        <n v="598700"/>
        <n v="501764"/>
        <n v="263927"/>
        <n v="439706"/>
        <n v="534431"/>
        <n v="217703"/>
        <n v="255233"/>
        <n v="314687"/>
        <n v="383678"/>
        <n v="518073"/>
        <n v="599540"/>
        <n v="220085"/>
        <n v="414496"/>
        <n v="365057"/>
        <n v="436072"/>
        <n v="516464"/>
        <n v="284638"/>
        <n v="349004"/>
        <n v="185338"/>
        <n v="110311"/>
        <n v="173404"/>
        <n v="187423"/>
        <n v="146316"/>
        <n v="167181"/>
        <n v="170740"/>
        <n v="144109"/>
        <n v="189192"/>
        <n v="203549"/>
        <n v="123975"/>
        <n v="200453"/>
        <n v="108382"/>
        <n v="108011"/>
        <n v="235531"/>
        <n v="139425"/>
        <n v="156338"/>
        <n v="91639"/>
        <n v="181840"/>
        <n v="247052"/>
        <n v="84127"/>
        <n v="133838"/>
        <n v="182202"/>
        <n v="227723"/>
        <n v="116310"/>
        <n v="159869"/>
        <n v="90949"/>
        <n v="98698"/>
        <n v="168228"/>
        <n v="230653"/>
        <n v="108443"/>
        <n v="250203"/>
        <n v="123597"/>
        <n v="114717"/>
        <n v="115815"/>
        <n v="228129"/>
        <n v="130293"/>
        <n v="91532"/>
        <n v="179618"/>
        <n v="197699"/>
        <n v="108525"/>
        <n v="132684"/>
        <n v="130251"/>
        <n v="221891"/>
        <n v="127640"/>
        <n v="160810"/>
        <n v="189378"/>
        <n v="200033"/>
        <n v="127704"/>
        <n v="180130"/>
        <n v="243058"/>
        <n v="232981"/>
        <n v="236701"/>
        <n v="161959"/>
        <n v="254412"/>
        <n v="258826"/>
        <n v="276815"/>
        <n v="236222"/>
        <n v="115874"/>
        <n v="271608"/>
        <n v="143213"/>
        <n v="128281"/>
        <n v="269572"/>
        <n v="162546"/>
        <n v="147197"/>
        <n v="166605"/>
        <n v="141210"/>
        <n v="273317"/>
        <n v="195325"/>
        <n v="156594"/>
        <n v="231900"/>
        <n v="216951"/>
        <n v="262629"/>
        <n v="276042"/>
        <n v="176711"/>
        <n v="196374"/>
        <n v="257293"/>
        <n v="203742"/>
        <n v="101257"/>
        <n v="178084"/>
        <n v="290315"/>
        <n v="128961"/>
        <n v="126587"/>
        <n v="207017"/>
        <n v="119831"/>
        <n v="157959"/>
        <n v="181346"/>
        <n v="287284"/>
        <n v="245884"/>
        <n v="251315"/>
        <n v="103024"/>
        <n v="202435"/>
        <n v="132405"/>
        <n v="218831"/>
        <n v="124556"/>
        <n v="283681"/>
        <n v="204800"/>
        <n v="230796"/>
        <n v="108095"/>
        <n v="232433"/>
        <n v="143784"/>
        <n v="115228"/>
        <n v="289513"/>
        <n v="148893"/>
        <n v="246002"/>
        <n v="261625"/>
        <n v="290327"/>
        <n v="214543"/>
        <n v="152609"/>
        <n v="318143"/>
        <n v="199098"/>
        <n v="187432"/>
        <n v="110217"/>
        <n v="222025"/>
        <n v="197534"/>
        <n v="171085"/>
        <n v="228066"/>
        <n v="142416"/>
        <n v="265585"/>
        <n v="303460"/>
        <n v="156388"/>
        <n v="233579"/>
        <n v="308149"/>
        <n v="329743"/>
        <n v="155677"/>
        <n v="185235"/>
        <n v="142058"/>
        <n v="321234"/>
        <n v="187384"/>
        <n v="257265"/>
        <n v="198082"/>
        <n v="328920"/>
        <n v="245565"/>
        <n v="154695"/>
        <n v="302336"/>
        <n v="302309"/>
        <n v="116303"/>
        <n v="280513"/>
        <n v="155365"/>
        <n v="237774"/>
        <n v="299679"/>
        <n v="153891"/>
        <n v="206877"/>
        <n v="335946"/>
        <n v="188490"/>
        <n v="255596"/>
        <n v="280993"/>
        <n v="203293"/>
        <n v="275182"/>
        <n v="307533"/>
        <n v="104024"/>
        <n v="163558"/>
        <n v="78348"/>
        <n v="172466"/>
        <n v="101744"/>
        <n v="100189"/>
        <n v="133225"/>
        <n v="159376"/>
        <n v="124350"/>
        <n v="164927"/>
        <n v="111767"/>
        <n v="63054"/>
        <n v="96548"/>
        <n v="119117"/>
        <n v="100120"/>
        <n v="73706"/>
        <n v="89999"/>
        <n v="164417"/>
        <n v="114883"/>
        <n v="145182"/>
        <n v="87984"/>
        <n v="104876"/>
        <n v="107075"/>
        <n v="135076"/>
        <n v="128078"/>
        <n v="122476"/>
        <n v="142544"/>
        <n v="73012"/>
        <n v="184953"/>
        <n v="129171"/>
        <n v="135734"/>
        <n v="177045"/>
        <n v="120492"/>
        <n v="197253"/>
        <n v="155778"/>
        <n v="182632"/>
        <n v="156163"/>
        <n v="103507"/>
        <n v="170347"/>
        <n v="182960"/>
        <n v="93599"/>
        <n v="179633"/>
        <n v="197931"/>
        <n v="206067"/>
        <n v="122294"/>
        <n v="121094"/>
        <n v="88438"/>
        <n v="80233"/>
        <n v="151066"/>
        <n v="145689"/>
        <n v="191708"/>
        <n v="72637"/>
        <n v="170906"/>
        <n v="99375"/>
        <n v="164153"/>
        <n v="167966"/>
        <n v="82272"/>
        <n v="162833"/>
        <n v="80234"/>
        <n v="218876"/>
        <n v="143031"/>
        <n v="155887"/>
        <n v="192025"/>
        <n v="186670"/>
        <n v="118951"/>
        <n v="101646"/>
        <n v="83107"/>
        <n v="220587"/>
        <n v="207282"/>
        <n v="166733"/>
        <n v="90317"/>
        <n v="131496"/>
        <n v="110066"/>
        <n v="105318"/>
        <n v="179112"/>
        <n v="91573"/>
        <n v="95694"/>
        <n v="223278"/>
        <n v="187419"/>
        <n v="91326"/>
        <n v="122034"/>
        <n v="216380"/>
        <n v="145886"/>
        <n v="120974"/>
        <n v="226566"/>
        <n v="133981"/>
        <n v="111352"/>
        <n v="194407"/>
        <n v="97050"/>
        <n v="224249"/>
        <n v="98774"/>
        <n v="228062"/>
        <n v="129918"/>
        <n v="112668"/>
        <n v="194809"/>
        <n v="235474"/>
        <n v="177762"/>
        <n v="129016"/>
        <n v="204385"/>
        <n v="159000"/>
        <n v="182568"/>
        <n v="112812"/>
        <n v="140836"/>
        <n v="149894"/>
        <n v="127778"/>
        <n v="96303"/>
        <n v="96254"/>
        <n v="117252"/>
        <n v="201807"/>
        <n v="85068"/>
        <n v="113824"/>
        <n v="114645"/>
        <n v="138888"/>
        <n v="115848"/>
        <n v="109551"/>
        <n v="220074"/>
        <n v="113791"/>
        <n v="182113"/>
        <n v="172379"/>
        <n v="215439"/>
        <n v="175555"/>
        <n v="118729"/>
        <n v="158158"/>
        <n v="264431"/>
        <n v="122868"/>
        <n v="206184"/>
        <n v="232626"/>
        <n v="172425"/>
        <n v="209237"/>
        <n v="235591"/>
        <n v="185617"/>
        <n v="124898"/>
        <n v="271781"/>
        <n v="254966"/>
        <n v="191245"/>
        <n v="103292"/>
        <n v="179746"/>
        <n v="99780"/>
        <n v="160523"/>
        <n v="103058"/>
        <n v="161054"/>
        <n v="248385"/>
        <n v="276281"/>
        <n v="124002"/>
        <n v="262354"/>
        <n v="164491"/>
        <n v="142449"/>
        <n v="148928"/>
        <n v="141270"/>
        <n v="165275"/>
        <n v="134553"/>
        <n v="119697"/>
        <n v="87310"/>
        <n v="166370"/>
        <n v="156121"/>
        <n v="205506"/>
        <n v="145177"/>
        <n v="101530"/>
        <n v="91149"/>
        <n v="181136"/>
        <n v="142563"/>
        <n v="180542"/>
        <n v="193883"/>
        <n v="79662"/>
        <n v="109915"/>
        <n v="118369"/>
        <n v="107750"/>
        <n v="210066"/>
        <n v="206292"/>
        <n v="162418"/>
        <n v="124923"/>
        <n v="116748"/>
        <n v="156765"/>
        <n v="84091"/>
        <n v="147027"/>
        <n v="173367"/>
        <n v="174445"/>
        <n v="171903"/>
        <n v="219545"/>
        <n v="80451"/>
        <n v="105263"/>
        <n v="80502"/>
        <n v="112385"/>
        <n v="125358"/>
        <n v="94432"/>
        <n v="181404"/>
        <n v="77518"/>
        <n v="207131"/>
        <n v="188849"/>
        <n v="209648"/>
        <n v="132232"/>
        <n v="142849"/>
        <n v="213126"/>
        <n v="238495"/>
        <n v="197834"/>
        <n v="220615"/>
        <n v="214475"/>
        <n v="239902"/>
        <n v="203619"/>
        <n v="100190"/>
        <n v="190476"/>
        <n v="181080"/>
        <n v="212939"/>
        <n v="203856"/>
        <n v="219503"/>
        <n v="212553"/>
        <n v="111952"/>
        <n v="240649"/>
        <n v="140075"/>
        <n v="117869"/>
        <n v="249280"/>
        <n v="197173"/>
        <n v="233824"/>
        <n v="238658"/>
        <n v="228320"/>
        <n v="186756"/>
        <n v="244418"/>
        <n v="155770"/>
        <n v="92137"/>
        <n v="233446"/>
        <n v="190960"/>
        <n v="223914"/>
        <n v="223217"/>
        <n v="203487"/>
        <n v="235444"/>
        <n v="238673"/>
        <n v="230879"/>
        <n v="189203"/>
        <n v="182573"/>
        <n v="156676"/>
        <n v="223739"/>
        <n v="127254"/>
        <n v="177448"/>
        <n v="116015"/>
        <n v="157395"/>
        <n v="242401"/>
        <n v="260827"/>
        <n v="100326"/>
        <n v="149326"/>
        <n v="180293"/>
        <n v="146211"/>
        <n v="253784"/>
        <n v="140322"/>
        <n v="174021"/>
        <n v="258124"/>
        <n v="122520"/>
        <n v="197287"/>
        <n v="160197"/>
        <n v="122161"/>
        <n v="239622"/>
        <n v="121696"/>
        <n v="133723"/>
        <n v="175394"/>
        <n v="145752"/>
        <n v="194427"/>
        <n v="142179"/>
        <n v="172456"/>
        <n v="182095"/>
        <n v="196960"/>
        <n v="208705"/>
        <n v="123455"/>
        <n v="267530"/>
        <n v="247255"/>
        <n v="127990"/>
        <n v="198831"/>
        <n v="287147"/>
        <n v="281538"/>
        <n v="106569"/>
        <n v="99892"/>
        <n v="241923"/>
        <n v="133598"/>
        <n v="245262"/>
        <n v="250604"/>
        <n v="99029"/>
        <n v="183283"/>
        <n v="239708"/>
        <n v="235571"/>
        <n v="109798"/>
        <n v="160698"/>
        <n v="159162"/>
        <n v="286734"/>
        <n v="116464"/>
        <n v="108649"/>
        <n v="249155"/>
        <n v="295670"/>
        <n v="169101"/>
        <n v="153157"/>
        <n v="250941"/>
        <n v="162327"/>
        <n v="157958"/>
        <n v="236853"/>
        <n v="174914"/>
        <n v="205186"/>
        <n v="215419"/>
        <n v="279003"/>
        <n v="202376"/>
      </sharedItems>
    </cacheField>
    <cacheField name="Recovered" numFmtId="0">
      <sharedItems containsSemiMixedTypes="0" containsString="0" containsNumber="1" containsInteger="1" minValue="3998177" maxValue="18370196" count="1200">
        <n v="4331342"/>
        <n v="5004213"/>
        <n v="5020532"/>
        <n v="3998177"/>
        <n v="4020025"/>
        <n v="4114937"/>
        <n v="4287260"/>
        <n v="4212082"/>
        <n v="4194003"/>
        <n v="4351492"/>
        <n v="5007429"/>
        <n v="4278501"/>
        <n v="5172512"/>
        <n v="4415815"/>
        <n v="4755537"/>
        <n v="4974266"/>
        <n v="4287186"/>
        <n v="4484516"/>
        <n v="4507287"/>
        <n v="4694922"/>
        <n v="4866111"/>
        <n v="5427372"/>
        <n v="4833447"/>
        <n v="4398208"/>
        <n v="4762684"/>
        <n v="5392780"/>
        <n v="4986420"/>
        <n v="5158767"/>
        <n v="5657777"/>
        <n v="5221309"/>
        <n v="5376376"/>
        <n v="4682774"/>
        <n v="4649012"/>
        <n v="5422006"/>
        <n v="5226285"/>
        <n v="5435268"/>
        <n v="5043560"/>
        <n v="4791084"/>
        <n v="5145935"/>
        <n v="5042592"/>
        <n v="4904991"/>
        <n v="5933595"/>
        <n v="4790570"/>
        <n v="5471084"/>
        <n v="6014073"/>
        <n v="6038339"/>
        <n v="5563537"/>
        <n v="5350523"/>
        <n v="5422927"/>
        <n v="4952352"/>
        <n v="5594335"/>
        <n v="5484129"/>
        <n v="6068076"/>
        <n v="5097458"/>
        <n v="5316198"/>
        <n v="5400962"/>
        <n v="6040725"/>
        <n v="6243220"/>
        <n v="5965695"/>
        <n v="6213747"/>
        <n v="5263181"/>
        <n v="6198539"/>
        <n v="6469036"/>
        <n v="5752856"/>
        <n v="5371452"/>
        <n v="5679705"/>
        <n v="6442793"/>
        <n v="6159036"/>
        <n v="6063915"/>
        <n v="5960065"/>
        <n v="5412497"/>
        <n v="6429575"/>
        <n v="6181316"/>
        <n v="6333950"/>
        <n v="6105382"/>
        <n v="6751170"/>
        <n v="5322722"/>
        <n v="5342632"/>
        <n v="6526870"/>
        <n v="6290458"/>
        <n v="6210684"/>
        <n v="6771931"/>
        <n v="6874772"/>
        <n v="6028919"/>
        <n v="6238824"/>
        <n v="5712279"/>
        <n v="6976950"/>
        <n v="6327587"/>
        <n v="6749232"/>
        <n v="5748587"/>
        <n v="6372193"/>
        <n v="6192166"/>
        <n v="6265014"/>
        <n v="7018463"/>
        <n v="5616709"/>
        <n v="6570683"/>
        <n v="5673864"/>
        <n v="6720233"/>
        <n v="6070339"/>
        <n v="7101213"/>
        <n v="7150359"/>
        <n v="6355000"/>
        <n v="6236575"/>
        <n v="6483999"/>
        <n v="5950284"/>
        <n v="6246373"/>
        <n v="7383145"/>
        <n v="7244592"/>
        <n v="7044099"/>
        <n v="7126756"/>
        <n v="7208158"/>
        <n v="7302252"/>
        <n v="7362548"/>
        <n v="6647494"/>
        <n v="7025380"/>
        <n v="6122153"/>
        <n v="6521580"/>
        <n v="7558431"/>
        <n v="6310812"/>
        <n v="7418957"/>
        <n v="7067591"/>
        <n v="6861726"/>
        <n v="7727916"/>
        <n v="7186300"/>
        <n v="6411189"/>
        <n v="7260252"/>
        <n v="6266910"/>
        <n v="7186995"/>
        <n v="7450043"/>
        <n v="6903013"/>
        <n v="7541983"/>
        <n v="6573846"/>
        <n v="7839681"/>
        <n v="6593310"/>
        <n v="7067087"/>
        <n v="8003363"/>
        <n v="8019033"/>
        <n v="6576992"/>
        <n v="6768536"/>
        <n v="7834586"/>
        <n v="6992052"/>
        <n v="6851134"/>
        <n v="6881868"/>
        <n v="7872037"/>
        <n v="7627347"/>
        <n v="6869914"/>
        <n v="7075423"/>
        <n v="7837135"/>
        <n v="6934179"/>
        <n v="7692701"/>
        <n v="11645050"/>
        <n v="12692496"/>
        <n v="11123883"/>
        <n v="12099158"/>
        <n v="13866667"/>
        <n v="12949637"/>
        <n v="13084979"/>
        <n v="11409804"/>
        <n v="12214698"/>
        <n v="12090207"/>
        <n v="14228378"/>
        <n v="14091396"/>
        <n v="11310998"/>
        <n v="11635138"/>
        <n v="11369882"/>
        <n v="12768818"/>
        <n v="11860154"/>
        <n v="11936266"/>
        <n v="13612532"/>
        <n v="13108684"/>
        <n v="11654401"/>
        <n v="14287996"/>
        <n v="13635010"/>
        <n v="13149206"/>
        <n v="13317531"/>
        <n v="13511134"/>
        <n v="12534008"/>
        <n v="12545306"/>
        <n v="14437924"/>
        <n v="11834069"/>
        <n v="11847275"/>
        <n v="12483609"/>
        <n v="11711402"/>
        <n v="13577743"/>
        <n v="14708793"/>
        <n v="14743446"/>
        <n v="12698142"/>
        <n v="13647065"/>
        <n v="13709790"/>
        <n v="12708883"/>
        <n v="11748671"/>
        <n v="14292308"/>
        <n v="13763489"/>
        <n v="12267899"/>
        <n v="13286648"/>
        <n v="14761401"/>
        <n v="11791135"/>
        <n v="12343518"/>
        <n v="14423139"/>
        <n v="14823186"/>
        <n v="12440370"/>
        <n v="12355266"/>
        <n v="14670401"/>
        <n v="14532562"/>
        <n v="15009255"/>
        <n v="14555532"/>
        <n v="13610306"/>
        <n v="14013290"/>
        <n v="11922424"/>
        <n v="15211537"/>
        <n v="14866019"/>
        <n v="12965271"/>
        <n v="12756578"/>
        <n v="12621322"/>
        <n v="14961125"/>
        <n v="12919705"/>
        <n v="13349557"/>
        <n v="13825359"/>
        <n v="14932300"/>
        <n v="13903704"/>
        <n v="12906819"/>
        <n v="15075309"/>
        <n v="13328100"/>
        <n v="12259784"/>
        <n v="13350564"/>
        <n v="15538447"/>
        <n v="14904901"/>
        <n v="15067995"/>
        <n v="13953121"/>
        <n v="15631065"/>
        <n v="13326245"/>
        <n v="15265617"/>
        <n v="13309412"/>
        <n v="14785109"/>
        <n v="15582285"/>
        <n v="15524400"/>
        <n v="14170654"/>
        <n v="15775958"/>
        <n v="14007730"/>
        <n v="14233210"/>
        <n v="15909699"/>
        <n v="13475099"/>
        <n v="14394520"/>
        <n v="15891535"/>
        <n v="12868905"/>
        <n v="13299637"/>
        <n v="15611927"/>
        <n v="15490029"/>
        <n v="15451769"/>
        <n v="14829122"/>
        <n v="15289411"/>
        <n v="13733268"/>
        <n v="13508707"/>
        <n v="13697139"/>
        <n v="15776475"/>
        <n v="13714083"/>
        <n v="14714583"/>
        <n v="14241334"/>
        <n v="13068487"/>
        <n v="15223599"/>
        <n v="15436356"/>
        <n v="13393230"/>
        <n v="15024552"/>
        <n v="14100201"/>
        <n v="13922302"/>
        <n v="14442547"/>
        <n v="12849675"/>
        <n v="12871795"/>
        <n v="15220211"/>
        <n v="15550306"/>
        <n v="14915786"/>
        <n v="16507372"/>
        <n v="16230266"/>
        <n v="13713048"/>
        <n v="13231443"/>
        <n v="16343889"/>
        <n v="13614301"/>
        <n v="14856848"/>
        <n v="14596656"/>
        <n v="14094768"/>
        <n v="16176012"/>
        <n v="15047345"/>
        <n v="16772651"/>
        <n v="13088446"/>
        <n v="13713957"/>
        <n v="13277342"/>
        <n v="16258700"/>
        <n v="16412690"/>
        <n v="16577848"/>
        <n v="15792841"/>
        <n v="15911347"/>
        <n v="15975519"/>
        <n v="16216737"/>
        <n v="16166132"/>
        <n v="16600041"/>
        <n v="14007424"/>
        <n v="14562361"/>
        <n v="13618381"/>
        <n v="13859922"/>
        <n v="13842667"/>
        <n v="10993743"/>
        <n v="10543029"/>
        <n v="10677361"/>
        <n v="11737368"/>
        <n v="12035304"/>
        <n v="12210835"/>
        <n v="10605350"/>
        <n v="10209274"/>
        <n v="10264720"/>
        <n v="10040284"/>
        <n v="10962579"/>
        <n v="12380428"/>
        <n v="11430734"/>
        <n v="11341436"/>
        <n v="11951468"/>
        <n v="12187434"/>
        <n v="11234284"/>
        <n v="11030481"/>
        <n v="11979049"/>
        <n v="12092106"/>
        <n v="12260281"/>
        <n v="11514062"/>
        <n v="10834653"/>
        <n v="10401046"/>
        <n v="10862331"/>
        <n v="11284596"/>
        <n v="12242541"/>
        <n v="11681570"/>
        <n v="12255589"/>
        <n v="11524406"/>
        <n v="12621912"/>
        <n v="11623365"/>
        <n v="12161988"/>
        <n v="12381780"/>
        <n v="12264822"/>
        <n v="12395993"/>
        <n v="10415382"/>
        <n v="12397203"/>
        <n v="11498256"/>
        <n v="12243811"/>
        <n v="12668780"/>
        <n v="12403651"/>
        <n v="12180206"/>
        <n v="11142561"/>
        <n v="10643845"/>
        <n v="10860109"/>
        <n v="12454265"/>
        <n v="11957075"/>
        <n v="11607186"/>
        <n v="13124070"/>
        <n v="12764465"/>
        <n v="11431665"/>
        <n v="11279395"/>
        <n v="12472672"/>
        <n v="10633206"/>
        <n v="13248401"/>
        <n v="12725619"/>
        <n v="11786588"/>
        <n v="12387019"/>
        <n v="12606065"/>
        <n v="11031710"/>
        <n v="13142379"/>
        <n v="10821096"/>
        <n v="13548754"/>
        <n v="12059116"/>
        <n v="12081934"/>
        <n v="12030452"/>
        <n v="11364073"/>
        <n v="13014001"/>
        <n v="13344921"/>
        <n v="11760231"/>
        <n v="11550611"/>
        <n v="11385234"/>
        <n v="13604969"/>
        <n v="13785267"/>
        <n v="11204285"/>
        <n v="12618063"/>
        <n v="11160029"/>
        <n v="11547135"/>
        <n v="13393830"/>
        <n v="12042805"/>
        <n v="11935851"/>
        <n v="11750070"/>
        <n v="12416351"/>
        <n v="13605427"/>
        <n v="13739272"/>
        <n v="11128966"/>
        <n v="14179355"/>
        <n v="13385077"/>
        <n v="14145624"/>
        <n v="13814254"/>
        <n v="11703871"/>
        <n v="11387461"/>
        <n v="13650616"/>
        <n v="12046030"/>
        <n v="11718672"/>
        <n v="14025512"/>
        <n v="12452895"/>
        <n v="12419962"/>
        <n v="12068934"/>
        <n v="12184777"/>
        <n v="11912520"/>
        <n v="13338044"/>
        <n v="13340372"/>
        <n v="12298536"/>
        <n v="12325262"/>
        <n v="13165049"/>
        <n v="12202009"/>
        <n v="13559887"/>
        <n v="12980796"/>
        <n v="14260728"/>
        <n v="11978451"/>
        <n v="13631373"/>
        <n v="11872503"/>
        <n v="12578083"/>
        <n v="12395870"/>
        <n v="14763964"/>
        <n v="12035084"/>
        <n v="12707654"/>
        <n v="12082944"/>
        <n v="14193269"/>
        <n v="13128910"/>
        <n v="11937242"/>
        <n v="14561762"/>
        <n v="12902102"/>
        <n v="14379160"/>
        <n v="13667664"/>
        <n v="11926509"/>
        <n v="12080749"/>
        <n v="13072000"/>
        <n v="12593544"/>
        <n v="14330217"/>
        <n v="13612527"/>
        <n v="14446931"/>
        <n v="14588291"/>
        <n v="15036000"/>
        <n v="13521993"/>
        <n v="13544279"/>
        <n v="13323521"/>
        <n v="14338568"/>
        <n v="13520969"/>
        <n v="13327932"/>
        <n v="13752458"/>
        <n v="14499807"/>
        <n v="12193257"/>
        <n v="12826438"/>
        <n v="12798727"/>
        <n v="15613819"/>
        <n v="14940008"/>
        <n v="14466089"/>
        <n v="13640197"/>
        <n v="11974844"/>
        <n v="11569265"/>
        <n v="13981304"/>
        <n v="13216381"/>
        <n v="14084073"/>
        <n v="13229477"/>
        <n v="13416660"/>
        <n v="13164406"/>
        <n v="12928856"/>
        <n v="13506448"/>
        <n v="13605953"/>
        <n v="11441050"/>
        <n v="14543112"/>
        <n v="12164958"/>
        <n v="14551390"/>
        <n v="11994114"/>
        <n v="12174786"/>
        <n v="13623982"/>
        <n v="14426988"/>
        <n v="12941299"/>
        <n v="13057108"/>
        <n v="12338973"/>
        <n v="13935647"/>
        <n v="14862036"/>
        <n v="14790707"/>
        <n v="12518029"/>
        <n v="13739886"/>
        <n v="13159952"/>
        <n v="14821280"/>
        <n v="14450814"/>
        <n v="12705501"/>
        <n v="14223919"/>
        <n v="14952776"/>
        <n v="13910833"/>
        <n v="12888708"/>
        <n v="13498513"/>
        <n v="13376197"/>
        <n v="13717480"/>
        <n v="11975961"/>
        <n v="13148237"/>
        <n v="13643257"/>
        <n v="12562962"/>
        <n v="14009586"/>
        <n v="13152868"/>
        <n v="14674244"/>
        <n v="13520374"/>
        <n v="14757492"/>
        <n v="15360340"/>
        <n v="14517787"/>
        <n v="14430676"/>
        <n v="13257274"/>
        <n v="12567035"/>
        <n v="12179472"/>
        <n v="14541433"/>
        <n v="13100819"/>
        <n v="12849322"/>
        <n v="14483995"/>
        <n v="13260109"/>
        <n v="13521236"/>
        <n v="13799194"/>
        <n v="14778507"/>
        <n v="14728610"/>
        <n v="13611778"/>
        <n v="15051187"/>
        <n v="14845482"/>
        <n v="13800117"/>
        <n v="14798107"/>
        <n v="13422354"/>
        <n v="15038039"/>
        <n v="15321472"/>
        <n v="13346372"/>
        <n v="14867778"/>
        <n v="12758372"/>
        <n v="13306407"/>
        <n v="13683800"/>
        <n v="15689938"/>
        <n v="13378543"/>
        <n v="15186323"/>
        <n v="14836800"/>
        <n v="13165786"/>
        <n v="13557222"/>
        <n v="15080269"/>
        <n v="13633685"/>
        <n v="14977349"/>
        <n v="14774128"/>
        <n v="15039416"/>
        <n v="14551493"/>
        <n v="15630554"/>
        <n v="13324317"/>
        <n v="15738982"/>
        <n v="13046717"/>
        <n v="15446323"/>
        <n v="16336457"/>
        <n v="16184696"/>
        <n v="13209876"/>
        <n v="13082235"/>
        <n v="12936039"/>
        <n v="15372729"/>
        <n v="14020987"/>
        <n v="15147511"/>
        <n v="13439218"/>
        <n v="14919692"/>
        <n v="13725607"/>
        <n v="16020570"/>
        <n v="12963242"/>
        <n v="13969603"/>
        <n v="15277970"/>
        <n v="15706530"/>
        <n v="13242043"/>
        <n v="15773887"/>
        <n v="13187272"/>
        <n v="15885084"/>
        <n v="15801426"/>
        <n v="14521563"/>
        <n v="16538115"/>
        <n v="16792584"/>
        <n v="15376040"/>
        <n v="15148732"/>
        <n v="14934744"/>
        <n v="13378605"/>
        <n v="13362404"/>
        <n v="13664220"/>
        <n v="16284790"/>
        <n v="15576292"/>
        <n v="15503371"/>
        <n v="13515767"/>
        <n v="16849423"/>
        <n v="13661596"/>
        <n v="13945788"/>
        <n v="16285177"/>
        <n v="15073018"/>
        <n v="17145909"/>
        <n v="15914196"/>
        <n v="15891277"/>
        <n v="16560472"/>
        <n v="13974447"/>
        <n v="16836145"/>
        <n v="14674047"/>
        <n v="16743165"/>
        <n v="15288690"/>
        <n v="15819153"/>
        <n v="13716767"/>
        <n v="13974956"/>
        <n v="14127274"/>
        <n v="14113128"/>
        <n v="15262141"/>
        <n v="14650487"/>
        <n v="16952954"/>
        <n v="14053415"/>
        <n v="12397101"/>
        <n v="11603347"/>
        <n v="12510138"/>
        <n v="13243214"/>
        <n v="13486110"/>
        <n v="12841082"/>
        <n v="14024437"/>
        <n v="12933370"/>
        <n v="13827262"/>
        <n v="13431017"/>
        <n v="14292684"/>
        <n v="14144631"/>
        <n v="11897653"/>
        <n v="13796191"/>
        <n v="12488233"/>
        <n v="13084304"/>
        <n v="14412498"/>
        <n v="15107838"/>
        <n v="13087679"/>
        <n v="12497224"/>
        <n v="15136350"/>
        <n v="14050722"/>
        <n v="13494797"/>
        <n v="15307525"/>
        <n v="15262074"/>
        <n v="13970407"/>
        <n v="14080180"/>
        <n v="13262055"/>
        <n v="15465867"/>
        <n v="14817863"/>
        <n v="15249431"/>
        <n v="12237626"/>
        <n v="15346894"/>
        <n v="13858245"/>
        <n v="15309597"/>
        <n v="13289998"/>
        <n v="13970914"/>
        <n v="13223063"/>
        <n v="13596022"/>
        <n v="12924962"/>
        <n v="12475038"/>
        <n v="13108364"/>
        <n v="15311441"/>
        <n v="14633458"/>
        <n v="13072727"/>
        <n v="12958391"/>
        <n v="14202971"/>
        <n v="14864995"/>
        <n v="13416723"/>
        <n v="15189188"/>
        <n v="13270347"/>
        <n v="14930344"/>
        <n v="15386672"/>
        <n v="12854816"/>
        <n v="15992845"/>
        <n v="12927134"/>
        <n v="13675676"/>
        <n v="14613698"/>
        <n v="14938431"/>
        <n v="13146136"/>
        <n v="15673906"/>
        <n v="14057397"/>
        <n v="16121886"/>
        <n v="14145547"/>
        <n v="15554703"/>
        <n v="13917052"/>
        <n v="13486694"/>
        <n v="13718753"/>
        <n v="15927297"/>
        <n v="15043181"/>
        <n v="13042080"/>
        <n v="13247364"/>
        <n v="14671064"/>
        <n v="14691189"/>
        <n v="16335888"/>
        <n v="13658082"/>
        <n v="14964526"/>
        <n v="16607070"/>
        <n v="13822427"/>
        <n v="15902045"/>
        <n v="14715614"/>
        <n v="16524626"/>
        <n v="13938947"/>
        <n v="13827142"/>
        <n v="16310920"/>
        <n v="13338858"/>
        <n v="14746125"/>
        <n v="16035227"/>
        <n v="16638994"/>
        <n v="16995883"/>
        <n v="14430865"/>
        <n v="15014424"/>
        <n v="16004772"/>
        <n v="15601342"/>
        <n v="14663719"/>
        <n v="14884485"/>
        <n v="15591227"/>
        <n v="16776004"/>
        <n v="15477675"/>
        <n v="13637916"/>
        <n v="14213940"/>
        <n v="15044717"/>
        <n v="14711478"/>
        <n v="15744764"/>
        <n v="16392146"/>
        <n v="16091114"/>
        <n v="15410972"/>
        <n v="14001993"/>
        <n v="15217025"/>
        <n v="15950234"/>
        <n v="16825478"/>
        <n v="14923540"/>
        <n v="17170997"/>
        <n v="15236133"/>
        <n v="17540468"/>
        <n v="14325819"/>
        <n v="14428651"/>
        <n v="16144944"/>
        <n v="14653572"/>
        <n v="16484157"/>
        <n v="15136415"/>
        <n v="15378007"/>
        <n v="14364144"/>
        <n v="13980453"/>
        <n v="16214651"/>
        <n v="16608158"/>
        <n v="15097011"/>
        <n v="15681001"/>
        <n v="17413501"/>
        <n v="14873484"/>
        <n v="15130262"/>
        <n v="15913973"/>
        <n v="14524278"/>
        <n v="16666324"/>
        <n v="16405172"/>
        <n v="16593007"/>
        <n v="15977943"/>
        <n v="17306094"/>
        <n v="16529262"/>
        <n v="14828999"/>
        <n v="15858114"/>
        <n v="14607882"/>
        <n v="16841961"/>
        <n v="16479098"/>
        <n v="18370196"/>
        <n v="16362615"/>
        <n v="17121076"/>
        <n v="14756976"/>
        <n v="14722996"/>
        <n v="16104388"/>
        <n v="6333504"/>
        <n v="6301207"/>
        <n v="6250990"/>
        <n v="6548799"/>
        <n v="5505146"/>
        <n v="5560211"/>
        <n v="6819430"/>
        <n v="6223162"/>
        <n v="6456844"/>
        <n v="7077571"/>
        <n v="5874035"/>
        <n v="6376206"/>
        <n v="6143972"/>
        <n v="6741691"/>
        <n v="7284145"/>
        <n v="6510954"/>
        <n v="5814075"/>
        <n v="7242191"/>
        <n v="6788742"/>
        <n v="7383783"/>
        <n v="6657574"/>
        <n v="6733876"/>
        <n v="5876395"/>
        <n v="6189268"/>
        <n v="6112660"/>
        <n v="6005322"/>
        <n v="6117907"/>
        <n v="6774232"/>
        <n v="6573759"/>
        <n v="7683870"/>
        <n v="6358365"/>
        <n v="6657127"/>
        <n v="7143364"/>
        <n v="7031082"/>
        <n v="7768790"/>
        <n v="7365838"/>
        <n v="7120561"/>
        <n v="6737429"/>
        <n v="6941114"/>
        <n v="7862014"/>
        <n v="6892737"/>
        <n v="7712528"/>
        <n v="6594405"/>
        <n v="7000474"/>
        <n v="7370107"/>
        <n v="7778209"/>
        <n v="7013752"/>
        <n v="7975043"/>
        <n v="7147881"/>
        <n v="7767409"/>
        <n v="7069784"/>
        <n v="7092622"/>
        <n v="7411501"/>
        <n v="7083716"/>
        <n v="7973647"/>
        <n v="8319539"/>
        <n v="8337402"/>
        <n v="7070239"/>
        <n v="7523538"/>
        <n v="7927857"/>
        <n v="6677771"/>
        <n v="7183734"/>
        <n v="8198590"/>
        <n v="6654052"/>
        <n v="7526066"/>
        <n v="7822342"/>
        <n v="8375447"/>
        <n v="8255162"/>
        <n v="8407673"/>
        <n v="6901873"/>
        <n v="7407453"/>
        <n v="8620234"/>
        <n v="8390282"/>
        <n v="7299335"/>
        <n v="7590294"/>
        <n v="8187704"/>
        <n v="6957819"/>
        <n v="7884726"/>
        <n v="8545200"/>
        <n v="8809696"/>
        <n v="8629524"/>
        <n v="8844021"/>
        <n v="7973437"/>
        <n v="7868209"/>
        <n v="7744869"/>
        <n v="9101205"/>
        <n v="7183445"/>
        <n v="7568636"/>
        <n v="8192201"/>
        <n v="7421749"/>
        <n v="8935806"/>
        <n v="8825249"/>
        <n v="8557753"/>
        <n v="9225457"/>
        <n v="8379051"/>
        <n v="7958995"/>
        <n v="9084642"/>
        <n v="9113442"/>
        <n v="9091137"/>
        <n v="8689255"/>
        <n v="7621938"/>
        <n v="7549045"/>
        <n v="9349029"/>
        <n v="7387620"/>
        <n v="8052717"/>
        <n v="7994033"/>
        <n v="9105990"/>
        <n v="8070289"/>
        <n v="7837655"/>
        <n v="8236209"/>
        <n v="7939766"/>
        <n v="9284657"/>
        <n v="9320645"/>
        <n v="9702621"/>
        <n v="8114229"/>
        <n v="7808709"/>
        <n v="8857439"/>
        <n v="8440987"/>
        <n v="8955041"/>
        <n v="8665079"/>
        <n v="8429325"/>
        <n v="8480894"/>
        <n v="8311061"/>
        <n v="9852239"/>
        <n v="8492399"/>
        <n v="9939148"/>
        <n v="7848264"/>
        <n v="7806399"/>
        <n v="9501586"/>
        <n v="10035519"/>
        <n v="8304009"/>
        <n v="9736665"/>
        <n v="9796168"/>
        <n v="9201440"/>
        <n v="8312218"/>
        <n v="8496557"/>
        <n v="9573284"/>
        <n v="10257819"/>
        <n v="9219449"/>
        <n v="9273507"/>
        <n v="8913907"/>
        <n v="9622278"/>
        <n v="9870274"/>
        <n v="10104649"/>
        <n v="10298007"/>
        <n v="9719072"/>
        <n v="8833608"/>
        <n v="8362232"/>
        <n v="8950827"/>
        <n v="9283138"/>
        <n v="5111847"/>
        <n v="5147158"/>
        <n v="4756464"/>
        <n v="4332645"/>
        <n v="4230866"/>
        <n v="4880900"/>
        <n v="5129435"/>
        <n v="5338637"/>
        <n v="5090111"/>
        <n v="5205523"/>
        <n v="4676770"/>
        <n v="5216299"/>
        <n v="5459413"/>
        <n v="5477180"/>
        <n v="4907715"/>
        <n v="5263904"/>
        <n v="5579209"/>
        <n v="4490021"/>
        <n v="5270991"/>
        <n v="4671087"/>
        <n v="4814368"/>
        <n v="4865939"/>
        <n v="5614401"/>
        <n v="4738681"/>
        <n v="4640175"/>
        <n v="5196410"/>
        <n v="5482696"/>
        <n v="4998682"/>
        <n v="5263720"/>
        <n v="4915190"/>
        <n v="4889766"/>
        <n v="5305837"/>
        <n v="5660043"/>
        <n v="5324401"/>
        <n v="5299743"/>
        <n v="5625595"/>
        <n v="5371710"/>
        <n v="5924156"/>
        <n v="4946422"/>
        <n v="5771144"/>
        <n v="6080256"/>
        <n v="5913632"/>
        <n v="5463357"/>
        <n v="5983022"/>
        <n v="5666565"/>
        <n v="5861902"/>
        <n v="6299855"/>
        <n v="6123279"/>
        <n v="5530898"/>
        <n v="5483760"/>
        <n v="5435862"/>
        <n v="6426663"/>
        <n v="6044872"/>
        <n v="5247112"/>
        <n v="5544094"/>
        <n v="6539298"/>
        <n v="6182674"/>
        <n v="5271553"/>
        <n v="6186766"/>
        <n v="5235559"/>
        <n v="6514955"/>
        <n v="6328783"/>
        <n v="5416224"/>
        <n v="6641202"/>
        <n v="5543261"/>
        <n v="6520423"/>
        <n v="5394971"/>
        <n v="6437754"/>
        <n v="5464355"/>
        <n v="6638059"/>
        <n v="6430560"/>
        <n v="6963744"/>
        <n v="5718095"/>
        <n v="5541930"/>
        <n v="6540603"/>
        <n v="6825424"/>
        <n v="6245934"/>
        <n v="7032321"/>
        <n v="6082102"/>
        <n v="6274516"/>
        <n v="5830610"/>
        <n v="6846903"/>
        <n v="6542889"/>
        <n v="6253467"/>
        <n v="6425667"/>
        <n v="5739638"/>
        <n v="5945749"/>
        <n v="6249825"/>
        <n v="6525989"/>
        <n v="6203031"/>
        <n v="6350887"/>
        <n v="5863685"/>
        <n v="7236384"/>
        <n v="6035808"/>
        <n v="6973800"/>
        <n v="7314393"/>
        <n v="6373142"/>
        <n v="6319150"/>
        <n v="6596479"/>
        <n v="7231554"/>
        <n v="6798264"/>
        <n v="7277450"/>
        <n v="6303786"/>
        <n v="6935328"/>
        <n v="6670284"/>
        <n v="7410392"/>
        <n v="6949348"/>
        <n v="6212182"/>
        <n v="7218961"/>
        <n v="6501301"/>
        <n v="6784607"/>
        <n v="7372725"/>
        <n v="6999745"/>
        <n v="6312967"/>
        <n v="6897480"/>
        <n v="7443193"/>
        <n v="6330740"/>
        <n v="6147158"/>
        <n v="7046235"/>
        <n v="7484348"/>
        <n v="7519509"/>
        <n v="7321635"/>
        <n v="7092394"/>
        <n v="7784850"/>
        <n v="6809485"/>
        <n v="7239800"/>
        <n v="6614109"/>
        <n v="7876421"/>
        <n v="6846540"/>
        <n v="7389418"/>
        <n v="7824312"/>
        <n v="7590595"/>
        <n v="6740703"/>
        <n v="7550836"/>
        <n v="6900491"/>
        <n v="6493906"/>
        <n v="6867788"/>
        <n v="6786058"/>
        <n v="8040627"/>
        <n v="6614161"/>
        <n v="8018420"/>
        <n v="7404523"/>
        <n v="7871906"/>
        <n v="7628645"/>
        <n v="6694027"/>
        <n v="6619419"/>
        <n v="7248100"/>
        <n v="8169381"/>
        <n v="7743486"/>
        <n v="6936212"/>
        <n v="5044993"/>
        <n v="5453689"/>
        <n v="6062650"/>
        <n v="5437601"/>
        <n v="5361339"/>
        <n v="5571960"/>
        <n v="5266635"/>
        <n v="5170617"/>
        <n v="5219844"/>
        <n v="6366797"/>
        <n v="6313394"/>
        <n v="5592406"/>
        <n v="5700154"/>
        <n v="5198986"/>
        <n v="5683875"/>
        <n v="6360786"/>
        <n v="5466828"/>
        <n v="5719373"/>
        <n v="6250679"/>
        <n v="5369397"/>
        <n v="5785311"/>
        <n v="5373850"/>
        <n v="5207246"/>
        <n v="6245294"/>
        <n v="5547275"/>
        <n v="6392555"/>
        <n v="6586013"/>
        <n v="6357174"/>
        <n v="6155778"/>
        <n v="5889205"/>
        <n v="6587746"/>
        <n v="6756257"/>
        <n v="5727451"/>
        <n v="5345587"/>
        <n v="6210168"/>
        <n v="5944128"/>
        <n v="5799503"/>
        <n v="6863270"/>
        <n v="6584546"/>
        <n v="5770357"/>
        <n v="6957725"/>
        <n v="6306311"/>
        <n v="6647390"/>
        <n v="5934780"/>
        <n v="7148297"/>
        <n v="6539746"/>
        <n v="6253547"/>
        <n v="6264292"/>
        <n v="6750201"/>
        <n v="6024727"/>
        <n v="6106242"/>
        <n v="7009772"/>
        <n v="7021582"/>
        <n v="5762333"/>
        <n v="6338643"/>
        <n v="6216432"/>
        <n v="6456646"/>
        <n v="7072763"/>
        <n v="6214573"/>
        <n v="7021775"/>
        <n v="7367807"/>
        <n v="6884525"/>
        <n v="6963400"/>
        <n v="7575123"/>
        <n v="7056688"/>
        <n v="6586314"/>
        <n v="6347725"/>
        <n v="6628256"/>
        <n v="7639965"/>
        <n v="7644306"/>
        <n v="6656503"/>
        <n v="6146931"/>
        <n v="7206584"/>
        <n v="7032371"/>
        <n v="7774232"/>
        <n v="6775410"/>
        <n v="6971049"/>
        <n v="6339542"/>
        <n v="6884891"/>
        <n v="7316099"/>
        <n v="7403215"/>
        <n v="7068460"/>
        <n v="6779813"/>
        <n v="7154513"/>
        <n v="7566363"/>
        <n v="6950237"/>
        <n v="7967260"/>
        <n v="7676749"/>
        <n v="6647432"/>
        <n v="7845098"/>
        <n v="6975142"/>
        <n v="7771775"/>
        <n v="7974091"/>
        <n v="7289027"/>
        <n v="6539732"/>
        <n v="7112187"/>
        <n v="7292070"/>
        <n v="6784924"/>
        <n v="8150126"/>
        <n v="8303808"/>
        <n v="7105926"/>
        <n v="6928342"/>
        <n v="6674365"/>
        <n v="7868598"/>
        <n v="8392445"/>
        <n v="7201985"/>
        <n v="6977697"/>
        <n v="7755811"/>
        <n v="8146037"/>
        <n v="7868343"/>
        <n v="7597361"/>
        <n v="8044302"/>
        <n v="7166306"/>
        <n v="8190870"/>
        <n v="7638067"/>
        <n v="7143341"/>
        <n v="8258178"/>
        <n v="7894065"/>
        <n v="7292978"/>
        <n v="7838472"/>
        <n v="7498005"/>
        <n v="7270787"/>
        <n v="7843094"/>
        <n v="7314807"/>
        <n v="7244191"/>
        <n v="6962865"/>
        <n v="8793771"/>
        <n v="7542985"/>
        <n v="8831779"/>
        <n v="8293309"/>
        <n v="8168394"/>
        <n v="8970373"/>
        <n v="8790873"/>
        <n v="7250638"/>
        <n v="9056555"/>
        <n v="8711894"/>
        <n v="7465039"/>
        <n v="7191224"/>
        <n v="8025945"/>
        <n v="8238364"/>
        <n v="7476767"/>
        <n v="7784925"/>
        <n v="9120930"/>
        <n v="8724789"/>
        <n v="8790191"/>
        <n v="9090089"/>
        <n v="7266300"/>
        <n v="8825579"/>
        <n v="8229152"/>
        <n v="8229903"/>
      </sharedItems>
    </cacheField>
  </cacheFields>
  <extLst>
    <ext xmlns:x14="http://schemas.microsoft.com/office/spreadsheetml/2009/9/main" uri="{725AE2AE-9491-48be-B2B4-4EB974FC3084}">
      <x14:pivotCacheDefinition pivotCacheId="966164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uth" refreshedDate="46134.859715625003" createdVersion="8" refreshedVersion="8" minRefreshableVersion="3" recordCount="1200" xr:uid="{CF6A1C91-51F2-476B-9B1F-311EE132983C}">
  <cacheSource type="worksheet">
    <worksheetSource ref="M1:N1201" sheet="New_Columns"/>
  </cacheSource>
  <cacheFields count="2">
    <cacheField name="Date" numFmtId="14">
      <sharedItems count="15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 v="2021-04-01"/>
        <s v="2021-04-02"/>
        <s v="2021-04-03"/>
        <s v="2021-04-04"/>
        <s v="2021-04-05"/>
        <s v="2021-04-06"/>
        <s v="2021-04-07"/>
        <s v="2021-04-08"/>
        <s v="2021-04-09"/>
        <s v="2021-04-10"/>
        <s v="2021-04-11"/>
        <s v="2021-04-12"/>
        <s v="2021-04-13"/>
        <s v="2021-04-14"/>
        <s v="2021-04-15"/>
        <s v="2021-04-16"/>
        <s v="2021-04-17"/>
        <s v="2021-04-18"/>
        <s v="2021-04-19"/>
        <s v="2021-04-20"/>
        <s v="2021-04-21"/>
        <s v="2021-04-22"/>
        <s v="2021-04-23"/>
        <s v="2021-04-24"/>
        <s v="2021-04-25"/>
        <s v="2021-04-26"/>
        <s v="2021-04-27"/>
        <s v="2021-04-28"/>
        <s v="2021-04-29"/>
        <s v="2021-04-30"/>
        <s v="2021-05-01"/>
        <s v="2021-05-02"/>
        <s v="2021-05-03"/>
        <s v="2021-05-04"/>
        <s v="2021-05-05"/>
        <s v="2021-05-06"/>
        <s v="2021-05-07"/>
        <s v="2021-05-08"/>
        <s v="2021-05-09"/>
        <s v="2021-05-10"/>
        <s v="2021-05-11"/>
        <s v="2021-05-12"/>
        <s v="2021-05-13"/>
        <s v="2021-05-14"/>
        <s v="2021-05-15"/>
        <s v="2021-05-16"/>
        <s v="2021-05-17"/>
        <s v="2021-05-18"/>
        <s v="2021-05-19"/>
        <s v="2021-05-20"/>
        <s v="2021-05-21"/>
        <s v="2021-05-22"/>
        <s v="2021-05-23"/>
        <s v="2021-05-24"/>
        <s v="2021-05-25"/>
        <s v="2021-05-26"/>
        <s v="2021-05-27"/>
        <s v="2021-05-28"/>
        <s v="2021-05-29"/>
        <s v="2021-05-30"/>
      </sharedItems>
    </cacheField>
    <cacheField name="Active Cases" numFmtId="171">
      <sharedItems containsSemiMixedTypes="0" containsString="0" containsNumber="1" containsInteger="1" minValue="414399" maxValue="564114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5554230"/>
    <x v="0"/>
    <x v="0"/>
  </r>
  <r>
    <x v="0"/>
    <x v="0"/>
    <n v="5576883"/>
    <x v="1"/>
    <x v="1"/>
  </r>
  <r>
    <x v="0"/>
    <x v="0"/>
    <n v="5610296"/>
    <x v="2"/>
    <x v="2"/>
  </r>
  <r>
    <x v="0"/>
    <x v="0"/>
    <n v="5655168"/>
    <x v="3"/>
    <x v="3"/>
  </r>
  <r>
    <x v="0"/>
    <x v="0"/>
    <n v="5656556"/>
    <x v="4"/>
    <x v="4"/>
  </r>
  <r>
    <x v="0"/>
    <x v="0"/>
    <n v="5670777"/>
    <x v="5"/>
    <x v="5"/>
  </r>
  <r>
    <x v="0"/>
    <x v="0"/>
    <n v="5715879"/>
    <x v="6"/>
    <x v="6"/>
  </r>
  <r>
    <x v="0"/>
    <x v="0"/>
    <n v="5756295"/>
    <x v="7"/>
    <x v="7"/>
  </r>
  <r>
    <x v="1"/>
    <x v="0"/>
    <n v="5787171"/>
    <x v="8"/>
    <x v="8"/>
  </r>
  <r>
    <x v="1"/>
    <x v="0"/>
    <n v="5818097"/>
    <x v="9"/>
    <x v="9"/>
  </r>
  <r>
    <x v="1"/>
    <x v="0"/>
    <n v="5838159"/>
    <x v="10"/>
    <x v="10"/>
  </r>
  <r>
    <x v="1"/>
    <x v="0"/>
    <n v="5861930"/>
    <x v="11"/>
    <x v="11"/>
  </r>
  <r>
    <x v="1"/>
    <x v="0"/>
    <n v="5888707"/>
    <x v="12"/>
    <x v="12"/>
  </r>
  <r>
    <x v="1"/>
    <x v="0"/>
    <n v="5913230"/>
    <x v="13"/>
    <x v="13"/>
  </r>
  <r>
    <x v="1"/>
    <x v="0"/>
    <n v="5957961"/>
    <x v="14"/>
    <x v="14"/>
  </r>
  <r>
    <x v="1"/>
    <x v="0"/>
    <n v="5979001"/>
    <x v="15"/>
    <x v="15"/>
  </r>
  <r>
    <x v="2"/>
    <x v="0"/>
    <n v="6014219"/>
    <x v="16"/>
    <x v="16"/>
  </r>
  <r>
    <x v="2"/>
    <x v="0"/>
    <n v="6037172"/>
    <x v="17"/>
    <x v="17"/>
  </r>
  <r>
    <x v="2"/>
    <x v="0"/>
    <n v="6059429"/>
    <x v="18"/>
    <x v="18"/>
  </r>
  <r>
    <x v="2"/>
    <x v="0"/>
    <n v="6093888"/>
    <x v="19"/>
    <x v="19"/>
  </r>
  <r>
    <x v="2"/>
    <x v="0"/>
    <n v="6096348"/>
    <x v="20"/>
    <x v="20"/>
  </r>
  <r>
    <x v="2"/>
    <x v="0"/>
    <n v="6125242"/>
    <x v="21"/>
    <x v="21"/>
  </r>
  <r>
    <x v="2"/>
    <x v="0"/>
    <n v="6173396"/>
    <x v="22"/>
    <x v="22"/>
  </r>
  <r>
    <x v="2"/>
    <x v="0"/>
    <n v="6194154"/>
    <x v="23"/>
    <x v="23"/>
  </r>
  <r>
    <x v="3"/>
    <x v="0"/>
    <n v="6203112"/>
    <x v="24"/>
    <x v="24"/>
  </r>
  <r>
    <x v="3"/>
    <x v="0"/>
    <n v="6230933"/>
    <x v="25"/>
    <x v="25"/>
  </r>
  <r>
    <x v="3"/>
    <x v="0"/>
    <n v="6252899"/>
    <x v="26"/>
    <x v="26"/>
  </r>
  <r>
    <x v="3"/>
    <x v="0"/>
    <n v="6288830"/>
    <x v="27"/>
    <x v="27"/>
  </r>
  <r>
    <x v="3"/>
    <x v="0"/>
    <n v="6334756"/>
    <x v="28"/>
    <x v="28"/>
  </r>
  <r>
    <x v="3"/>
    <x v="0"/>
    <n v="6361993"/>
    <x v="29"/>
    <x v="29"/>
  </r>
  <r>
    <x v="3"/>
    <x v="0"/>
    <n v="6410694"/>
    <x v="30"/>
    <x v="30"/>
  </r>
  <r>
    <x v="3"/>
    <x v="0"/>
    <n v="6421872"/>
    <x v="31"/>
    <x v="31"/>
  </r>
  <r>
    <x v="4"/>
    <x v="0"/>
    <n v="6470175"/>
    <x v="32"/>
    <x v="32"/>
  </r>
  <r>
    <x v="4"/>
    <x v="0"/>
    <n v="6497758"/>
    <x v="33"/>
    <x v="33"/>
  </r>
  <r>
    <x v="4"/>
    <x v="0"/>
    <n v="6506093"/>
    <x v="34"/>
    <x v="34"/>
  </r>
  <r>
    <x v="4"/>
    <x v="0"/>
    <n v="6543780"/>
    <x v="35"/>
    <x v="35"/>
  </r>
  <r>
    <x v="4"/>
    <x v="0"/>
    <n v="6580989"/>
    <x v="36"/>
    <x v="36"/>
  </r>
  <r>
    <x v="4"/>
    <x v="0"/>
    <n v="6586950"/>
    <x v="37"/>
    <x v="37"/>
  </r>
  <r>
    <x v="4"/>
    <x v="0"/>
    <n v="6593172"/>
    <x v="38"/>
    <x v="38"/>
  </r>
  <r>
    <x v="4"/>
    <x v="0"/>
    <n v="6634713"/>
    <x v="39"/>
    <x v="39"/>
  </r>
  <r>
    <x v="5"/>
    <x v="0"/>
    <n v="6680982"/>
    <x v="40"/>
    <x v="40"/>
  </r>
  <r>
    <x v="5"/>
    <x v="0"/>
    <n v="6685363"/>
    <x v="41"/>
    <x v="41"/>
  </r>
  <r>
    <x v="5"/>
    <x v="0"/>
    <n v="6704196"/>
    <x v="42"/>
    <x v="42"/>
  </r>
  <r>
    <x v="5"/>
    <x v="0"/>
    <n v="6725881"/>
    <x v="43"/>
    <x v="43"/>
  </r>
  <r>
    <x v="5"/>
    <x v="0"/>
    <n v="6740038"/>
    <x v="44"/>
    <x v="44"/>
  </r>
  <r>
    <x v="5"/>
    <x v="0"/>
    <n v="6758356"/>
    <x v="45"/>
    <x v="45"/>
  </r>
  <r>
    <x v="5"/>
    <x v="0"/>
    <n v="6776661"/>
    <x v="46"/>
    <x v="46"/>
  </r>
  <r>
    <x v="5"/>
    <x v="0"/>
    <n v="6812026"/>
    <x v="47"/>
    <x v="47"/>
  </r>
  <r>
    <x v="6"/>
    <x v="0"/>
    <n v="6840151"/>
    <x v="48"/>
    <x v="48"/>
  </r>
  <r>
    <x v="6"/>
    <x v="0"/>
    <n v="6854394"/>
    <x v="49"/>
    <x v="49"/>
  </r>
  <r>
    <x v="6"/>
    <x v="0"/>
    <n v="6878865"/>
    <x v="50"/>
    <x v="50"/>
  </r>
  <r>
    <x v="6"/>
    <x v="0"/>
    <n v="6914747"/>
    <x v="51"/>
    <x v="51"/>
  </r>
  <r>
    <x v="6"/>
    <x v="0"/>
    <n v="6926792"/>
    <x v="52"/>
    <x v="52"/>
  </r>
  <r>
    <x v="6"/>
    <x v="0"/>
    <n v="6943953"/>
    <x v="53"/>
    <x v="53"/>
  </r>
  <r>
    <x v="6"/>
    <x v="0"/>
    <n v="6962845"/>
    <x v="54"/>
    <x v="54"/>
  </r>
  <r>
    <x v="6"/>
    <x v="0"/>
    <n v="6992854"/>
    <x v="55"/>
    <x v="55"/>
  </r>
  <r>
    <x v="7"/>
    <x v="0"/>
    <n v="7023445"/>
    <x v="56"/>
    <x v="56"/>
  </r>
  <r>
    <x v="7"/>
    <x v="0"/>
    <n v="7065236"/>
    <x v="57"/>
    <x v="57"/>
  </r>
  <r>
    <x v="7"/>
    <x v="0"/>
    <n v="7090420"/>
    <x v="58"/>
    <x v="58"/>
  </r>
  <r>
    <x v="7"/>
    <x v="0"/>
    <n v="7128443"/>
    <x v="59"/>
    <x v="59"/>
  </r>
  <r>
    <x v="7"/>
    <x v="0"/>
    <n v="7157522"/>
    <x v="60"/>
    <x v="60"/>
  </r>
  <r>
    <x v="7"/>
    <x v="0"/>
    <n v="7170296"/>
    <x v="61"/>
    <x v="61"/>
  </r>
  <r>
    <x v="7"/>
    <x v="0"/>
    <n v="7219860"/>
    <x v="62"/>
    <x v="62"/>
  </r>
  <r>
    <x v="7"/>
    <x v="0"/>
    <n v="7261438"/>
    <x v="63"/>
    <x v="63"/>
  </r>
  <r>
    <x v="8"/>
    <x v="0"/>
    <n v="7292324"/>
    <x v="64"/>
    <x v="64"/>
  </r>
  <r>
    <x v="8"/>
    <x v="0"/>
    <n v="7307772"/>
    <x v="65"/>
    <x v="65"/>
  </r>
  <r>
    <x v="8"/>
    <x v="0"/>
    <n v="7357233"/>
    <x v="66"/>
    <x v="66"/>
  </r>
  <r>
    <x v="8"/>
    <x v="0"/>
    <n v="7405955"/>
    <x v="67"/>
    <x v="67"/>
  </r>
  <r>
    <x v="8"/>
    <x v="0"/>
    <n v="7424477"/>
    <x v="68"/>
    <x v="68"/>
  </r>
  <r>
    <x v="8"/>
    <x v="0"/>
    <n v="7461701"/>
    <x v="69"/>
    <x v="69"/>
  </r>
  <r>
    <x v="8"/>
    <x v="0"/>
    <n v="7476445"/>
    <x v="70"/>
    <x v="70"/>
  </r>
  <r>
    <x v="8"/>
    <x v="0"/>
    <n v="7499421"/>
    <x v="71"/>
    <x v="71"/>
  </r>
  <r>
    <x v="9"/>
    <x v="0"/>
    <n v="7509830"/>
    <x v="72"/>
    <x v="72"/>
  </r>
  <r>
    <x v="9"/>
    <x v="0"/>
    <n v="7512161"/>
    <x v="73"/>
    <x v="73"/>
  </r>
  <r>
    <x v="9"/>
    <x v="0"/>
    <n v="7546547"/>
    <x v="74"/>
    <x v="74"/>
  </r>
  <r>
    <x v="9"/>
    <x v="0"/>
    <n v="7566249"/>
    <x v="75"/>
    <x v="75"/>
  </r>
  <r>
    <x v="9"/>
    <x v="0"/>
    <n v="7593964"/>
    <x v="76"/>
    <x v="76"/>
  </r>
  <r>
    <x v="9"/>
    <x v="0"/>
    <n v="7629718"/>
    <x v="77"/>
    <x v="77"/>
  </r>
  <r>
    <x v="9"/>
    <x v="0"/>
    <n v="7652966"/>
    <x v="78"/>
    <x v="78"/>
  </r>
  <r>
    <x v="9"/>
    <x v="0"/>
    <n v="7688424"/>
    <x v="79"/>
    <x v="79"/>
  </r>
  <r>
    <x v="10"/>
    <x v="0"/>
    <n v="7731299"/>
    <x v="80"/>
    <x v="80"/>
  </r>
  <r>
    <x v="10"/>
    <x v="0"/>
    <n v="7753984"/>
    <x v="81"/>
    <x v="81"/>
  </r>
  <r>
    <x v="10"/>
    <x v="0"/>
    <n v="7780407"/>
    <x v="82"/>
    <x v="82"/>
  </r>
  <r>
    <x v="10"/>
    <x v="0"/>
    <n v="7827708"/>
    <x v="83"/>
    <x v="83"/>
  </r>
  <r>
    <x v="10"/>
    <x v="0"/>
    <n v="7829125"/>
    <x v="84"/>
    <x v="84"/>
  </r>
  <r>
    <x v="10"/>
    <x v="0"/>
    <n v="7845933"/>
    <x v="85"/>
    <x v="85"/>
  </r>
  <r>
    <x v="10"/>
    <x v="0"/>
    <n v="7854642"/>
    <x v="86"/>
    <x v="86"/>
  </r>
  <r>
    <x v="10"/>
    <x v="0"/>
    <n v="7871842"/>
    <x v="87"/>
    <x v="87"/>
  </r>
  <r>
    <x v="11"/>
    <x v="0"/>
    <n v="7876330"/>
    <x v="88"/>
    <x v="88"/>
  </r>
  <r>
    <x v="11"/>
    <x v="0"/>
    <n v="7906834"/>
    <x v="89"/>
    <x v="89"/>
  </r>
  <r>
    <x v="11"/>
    <x v="0"/>
    <n v="7937554"/>
    <x v="90"/>
    <x v="90"/>
  </r>
  <r>
    <x v="11"/>
    <x v="0"/>
    <n v="7947186"/>
    <x v="91"/>
    <x v="91"/>
  </r>
  <r>
    <x v="11"/>
    <x v="0"/>
    <n v="7963419"/>
    <x v="92"/>
    <x v="92"/>
  </r>
  <r>
    <x v="11"/>
    <x v="0"/>
    <n v="7993281"/>
    <x v="93"/>
    <x v="93"/>
  </r>
  <r>
    <x v="11"/>
    <x v="0"/>
    <n v="8004668"/>
    <x v="94"/>
    <x v="94"/>
  </r>
  <r>
    <x v="11"/>
    <x v="0"/>
    <n v="8045906"/>
    <x v="95"/>
    <x v="95"/>
  </r>
  <r>
    <x v="12"/>
    <x v="0"/>
    <n v="8063415"/>
    <x v="96"/>
    <x v="96"/>
  </r>
  <r>
    <x v="12"/>
    <x v="0"/>
    <n v="8087383"/>
    <x v="97"/>
    <x v="97"/>
  </r>
  <r>
    <x v="12"/>
    <x v="0"/>
    <n v="8126669"/>
    <x v="98"/>
    <x v="98"/>
  </r>
  <r>
    <x v="12"/>
    <x v="0"/>
    <n v="8129586"/>
    <x v="99"/>
    <x v="99"/>
  </r>
  <r>
    <x v="12"/>
    <x v="0"/>
    <n v="8134292"/>
    <x v="100"/>
    <x v="100"/>
  </r>
  <r>
    <x v="12"/>
    <x v="0"/>
    <n v="8172964"/>
    <x v="101"/>
    <x v="101"/>
  </r>
  <r>
    <x v="12"/>
    <x v="0"/>
    <n v="8222400"/>
    <x v="102"/>
    <x v="102"/>
  </r>
  <r>
    <x v="12"/>
    <x v="0"/>
    <n v="8241752"/>
    <x v="103"/>
    <x v="103"/>
  </r>
  <r>
    <x v="13"/>
    <x v="0"/>
    <n v="8242950"/>
    <x v="104"/>
    <x v="104"/>
  </r>
  <r>
    <x v="13"/>
    <x v="0"/>
    <n v="8252101"/>
    <x v="105"/>
    <x v="105"/>
  </r>
  <r>
    <x v="13"/>
    <x v="0"/>
    <n v="8297299"/>
    <x v="106"/>
    <x v="106"/>
  </r>
  <r>
    <x v="13"/>
    <x v="0"/>
    <n v="8340254"/>
    <x v="107"/>
    <x v="107"/>
  </r>
  <r>
    <x v="13"/>
    <x v="0"/>
    <n v="8347538"/>
    <x v="108"/>
    <x v="108"/>
  </r>
  <r>
    <x v="13"/>
    <x v="0"/>
    <n v="8361772"/>
    <x v="109"/>
    <x v="109"/>
  </r>
  <r>
    <x v="13"/>
    <x v="0"/>
    <n v="8375212"/>
    <x v="110"/>
    <x v="110"/>
  </r>
  <r>
    <x v="13"/>
    <x v="0"/>
    <n v="8377066"/>
    <x v="111"/>
    <x v="111"/>
  </r>
  <r>
    <x v="14"/>
    <x v="0"/>
    <n v="8425162"/>
    <x v="112"/>
    <x v="112"/>
  </r>
  <r>
    <x v="14"/>
    <x v="0"/>
    <n v="8475074"/>
    <x v="113"/>
    <x v="113"/>
  </r>
  <r>
    <x v="14"/>
    <x v="0"/>
    <n v="8515923"/>
    <x v="114"/>
    <x v="114"/>
  </r>
  <r>
    <x v="14"/>
    <x v="0"/>
    <n v="8518559"/>
    <x v="115"/>
    <x v="115"/>
  </r>
  <r>
    <x v="14"/>
    <x v="0"/>
    <n v="8544516"/>
    <x v="116"/>
    <x v="116"/>
  </r>
  <r>
    <x v="14"/>
    <x v="0"/>
    <n v="8546425"/>
    <x v="117"/>
    <x v="117"/>
  </r>
  <r>
    <x v="14"/>
    <x v="0"/>
    <n v="8552472"/>
    <x v="118"/>
    <x v="118"/>
  </r>
  <r>
    <x v="14"/>
    <x v="0"/>
    <n v="8585437"/>
    <x v="119"/>
    <x v="119"/>
  </r>
  <r>
    <x v="15"/>
    <x v="0"/>
    <n v="8617781"/>
    <x v="120"/>
    <x v="120"/>
  </r>
  <r>
    <x v="15"/>
    <x v="0"/>
    <n v="8639769"/>
    <x v="121"/>
    <x v="121"/>
  </r>
  <r>
    <x v="15"/>
    <x v="0"/>
    <n v="8644933"/>
    <x v="122"/>
    <x v="122"/>
  </r>
  <r>
    <x v="15"/>
    <x v="0"/>
    <n v="8658607"/>
    <x v="123"/>
    <x v="123"/>
  </r>
  <r>
    <x v="15"/>
    <x v="0"/>
    <n v="8679431"/>
    <x v="124"/>
    <x v="124"/>
  </r>
  <r>
    <x v="15"/>
    <x v="0"/>
    <n v="8716028"/>
    <x v="125"/>
    <x v="125"/>
  </r>
  <r>
    <x v="15"/>
    <x v="0"/>
    <n v="8740322"/>
    <x v="126"/>
    <x v="126"/>
  </r>
  <r>
    <x v="15"/>
    <x v="0"/>
    <n v="8745295"/>
    <x v="127"/>
    <x v="127"/>
  </r>
  <r>
    <x v="16"/>
    <x v="0"/>
    <n v="8771089"/>
    <x v="128"/>
    <x v="128"/>
  </r>
  <r>
    <x v="16"/>
    <x v="0"/>
    <n v="8787943"/>
    <x v="129"/>
    <x v="129"/>
  </r>
  <r>
    <x v="16"/>
    <x v="0"/>
    <n v="8833352"/>
    <x v="130"/>
    <x v="130"/>
  </r>
  <r>
    <x v="16"/>
    <x v="0"/>
    <n v="8864094"/>
    <x v="131"/>
    <x v="131"/>
  </r>
  <r>
    <x v="16"/>
    <x v="0"/>
    <n v="8899897"/>
    <x v="132"/>
    <x v="132"/>
  </r>
  <r>
    <x v="16"/>
    <x v="0"/>
    <n v="8935269"/>
    <x v="133"/>
    <x v="133"/>
  </r>
  <r>
    <x v="16"/>
    <x v="0"/>
    <n v="8970125"/>
    <x v="134"/>
    <x v="134"/>
  </r>
  <r>
    <x v="16"/>
    <x v="0"/>
    <n v="9003456"/>
    <x v="135"/>
    <x v="135"/>
  </r>
  <r>
    <x v="17"/>
    <x v="0"/>
    <n v="9037913"/>
    <x v="136"/>
    <x v="136"/>
  </r>
  <r>
    <x v="17"/>
    <x v="0"/>
    <n v="9082118"/>
    <x v="137"/>
    <x v="137"/>
  </r>
  <r>
    <x v="17"/>
    <x v="0"/>
    <n v="9121314"/>
    <x v="138"/>
    <x v="138"/>
  </r>
  <r>
    <x v="17"/>
    <x v="0"/>
    <n v="9123862"/>
    <x v="139"/>
    <x v="139"/>
  </r>
  <r>
    <x v="17"/>
    <x v="0"/>
    <n v="9146699"/>
    <x v="140"/>
    <x v="140"/>
  </r>
  <r>
    <x v="17"/>
    <x v="0"/>
    <n v="9158409"/>
    <x v="141"/>
    <x v="141"/>
  </r>
  <r>
    <x v="17"/>
    <x v="0"/>
    <n v="9188928"/>
    <x v="142"/>
    <x v="142"/>
  </r>
  <r>
    <x v="17"/>
    <x v="0"/>
    <n v="9197350"/>
    <x v="143"/>
    <x v="143"/>
  </r>
  <r>
    <x v="18"/>
    <x v="0"/>
    <n v="9199984"/>
    <x v="144"/>
    <x v="144"/>
  </r>
  <r>
    <x v="18"/>
    <x v="0"/>
    <n v="9212943"/>
    <x v="145"/>
    <x v="145"/>
  </r>
  <r>
    <x v="18"/>
    <x v="0"/>
    <n v="9215752"/>
    <x v="146"/>
    <x v="146"/>
  </r>
  <r>
    <x v="18"/>
    <x v="0"/>
    <n v="9257956"/>
    <x v="147"/>
    <x v="147"/>
  </r>
  <r>
    <x v="18"/>
    <x v="0"/>
    <n v="9293500"/>
    <x v="148"/>
    <x v="148"/>
  </r>
  <r>
    <x v="18"/>
    <x v="0"/>
    <n v="9310373"/>
    <x v="149"/>
    <x v="149"/>
  </r>
  <r>
    <x v="18"/>
    <x v="1"/>
    <n v="15627761"/>
    <x v="150"/>
    <x v="150"/>
  </r>
  <r>
    <x v="18"/>
    <x v="1"/>
    <n v="15638189"/>
    <x v="151"/>
    <x v="151"/>
  </r>
  <r>
    <x v="19"/>
    <x v="1"/>
    <n v="15671786"/>
    <x v="152"/>
    <x v="152"/>
  </r>
  <r>
    <x v="19"/>
    <x v="1"/>
    <n v="15688110"/>
    <x v="153"/>
    <x v="153"/>
  </r>
  <r>
    <x v="19"/>
    <x v="1"/>
    <n v="15729369"/>
    <x v="154"/>
    <x v="154"/>
  </r>
  <r>
    <x v="19"/>
    <x v="1"/>
    <n v="15777924"/>
    <x v="155"/>
    <x v="155"/>
  </r>
  <r>
    <x v="19"/>
    <x v="1"/>
    <n v="15825457"/>
    <x v="156"/>
    <x v="156"/>
  </r>
  <r>
    <x v="19"/>
    <x v="1"/>
    <n v="15850871"/>
    <x v="157"/>
    <x v="157"/>
  </r>
  <r>
    <x v="19"/>
    <x v="1"/>
    <n v="15878269"/>
    <x v="158"/>
    <x v="158"/>
  </r>
  <r>
    <x v="19"/>
    <x v="1"/>
    <n v="15888998"/>
    <x v="159"/>
    <x v="159"/>
  </r>
  <r>
    <x v="20"/>
    <x v="1"/>
    <n v="15920553"/>
    <x v="160"/>
    <x v="160"/>
  </r>
  <r>
    <x v="20"/>
    <x v="1"/>
    <n v="15958590"/>
    <x v="161"/>
    <x v="161"/>
  </r>
  <r>
    <x v="20"/>
    <x v="1"/>
    <n v="15984763"/>
    <x v="162"/>
    <x v="162"/>
  </r>
  <r>
    <x v="20"/>
    <x v="1"/>
    <n v="16007700"/>
    <x v="163"/>
    <x v="163"/>
  </r>
  <r>
    <x v="20"/>
    <x v="1"/>
    <n v="16011253"/>
    <x v="164"/>
    <x v="164"/>
  </r>
  <r>
    <x v="20"/>
    <x v="1"/>
    <n v="16026914"/>
    <x v="165"/>
    <x v="165"/>
  </r>
  <r>
    <x v="20"/>
    <x v="1"/>
    <n v="16066278"/>
    <x v="166"/>
    <x v="166"/>
  </r>
  <r>
    <x v="20"/>
    <x v="1"/>
    <n v="16086499"/>
    <x v="167"/>
    <x v="167"/>
  </r>
  <r>
    <x v="21"/>
    <x v="1"/>
    <n v="16126561"/>
    <x v="168"/>
    <x v="168"/>
  </r>
  <r>
    <x v="21"/>
    <x v="1"/>
    <n v="16156020"/>
    <x v="169"/>
    <x v="169"/>
  </r>
  <r>
    <x v="21"/>
    <x v="1"/>
    <n v="16160673"/>
    <x v="170"/>
    <x v="170"/>
  </r>
  <r>
    <x v="21"/>
    <x v="1"/>
    <n v="16173583"/>
    <x v="171"/>
    <x v="171"/>
  </r>
  <r>
    <x v="21"/>
    <x v="1"/>
    <n v="16195583"/>
    <x v="172"/>
    <x v="172"/>
  </r>
  <r>
    <x v="21"/>
    <x v="1"/>
    <n v="16232125"/>
    <x v="173"/>
    <x v="173"/>
  </r>
  <r>
    <x v="21"/>
    <x v="1"/>
    <n v="16248564"/>
    <x v="174"/>
    <x v="174"/>
  </r>
  <r>
    <x v="21"/>
    <x v="1"/>
    <n v="16265664"/>
    <x v="175"/>
    <x v="175"/>
  </r>
  <r>
    <x v="22"/>
    <x v="1"/>
    <n v="16276211"/>
    <x v="176"/>
    <x v="176"/>
  </r>
  <r>
    <x v="22"/>
    <x v="1"/>
    <n v="16287232"/>
    <x v="177"/>
    <x v="177"/>
  </r>
  <r>
    <x v="22"/>
    <x v="1"/>
    <n v="16332832"/>
    <x v="178"/>
    <x v="178"/>
  </r>
  <r>
    <x v="22"/>
    <x v="1"/>
    <n v="16368221"/>
    <x v="179"/>
    <x v="179"/>
  </r>
  <r>
    <x v="22"/>
    <x v="1"/>
    <n v="16399307"/>
    <x v="180"/>
    <x v="180"/>
  </r>
  <r>
    <x v="22"/>
    <x v="1"/>
    <n v="16418649"/>
    <x v="181"/>
    <x v="181"/>
  </r>
  <r>
    <x v="22"/>
    <x v="1"/>
    <n v="16421993"/>
    <x v="182"/>
    <x v="182"/>
  </r>
  <r>
    <x v="22"/>
    <x v="1"/>
    <n v="16428635"/>
    <x v="183"/>
    <x v="183"/>
  </r>
  <r>
    <x v="23"/>
    <x v="1"/>
    <n v="16432035"/>
    <x v="184"/>
    <x v="184"/>
  </r>
  <r>
    <x v="23"/>
    <x v="1"/>
    <n v="16461554"/>
    <x v="185"/>
    <x v="185"/>
  </r>
  <r>
    <x v="23"/>
    <x v="1"/>
    <n v="16482881"/>
    <x v="186"/>
    <x v="186"/>
  </r>
  <r>
    <x v="23"/>
    <x v="1"/>
    <n v="16506447"/>
    <x v="187"/>
    <x v="187"/>
  </r>
  <r>
    <x v="23"/>
    <x v="1"/>
    <n v="16530178"/>
    <x v="188"/>
    <x v="188"/>
  </r>
  <r>
    <x v="23"/>
    <x v="1"/>
    <n v="16546358"/>
    <x v="189"/>
    <x v="189"/>
  </r>
  <r>
    <x v="23"/>
    <x v="1"/>
    <n v="16577854"/>
    <x v="190"/>
    <x v="190"/>
  </r>
  <r>
    <x v="23"/>
    <x v="1"/>
    <n v="16614748"/>
    <x v="191"/>
    <x v="191"/>
  </r>
  <r>
    <x v="24"/>
    <x v="1"/>
    <n v="16651740"/>
    <x v="192"/>
    <x v="192"/>
  </r>
  <r>
    <x v="24"/>
    <x v="1"/>
    <n v="16663203"/>
    <x v="193"/>
    <x v="193"/>
  </r>
  <r>
    <x v="24"/>
    <x v="1"/>
    <n v="16677760"/>
    <x v="194"/>
    <x v="194"/>
  </r>
  <r>
    <x v="24"/>
    <x v="1"/>
    <n v="16691978"/>
    <x v="195"/>
    <x v="195"/>
  </r>
  <r>
    <x v="24"/>
    <x v="1"/>
    <n v="16700118"/>
    <x v="196"/>
    <x v="196"/>
  </r>
  <r>
    <x v="24"/>
    <x v="1"/>
    <n v="16712610"/>
    <x v="197"/>
    <x v="197"/>
  </r>
  <r>
    <x v="24"/>
    <x v="1"/>
    <n v="16733590"/>
    <x v="198"/>
    <x v="198"/>
  </r>
  <r>
    <x v="24"/>
    <x v="1"/>
    <n v="16757231"/>
    <x v="199"/>
    <x v="199"/>
  </r>
  <r>
    <x v="25"/>
    <x v="1"/>
    <n v="16784349"/>
    <x v="200"/>
    <x v="200"/>
  </r>
  <r>
    <x v="25"/>
    <x v="1"/>
    <n v="16820752"/>
    <x v="201"/>
    <x v="201"/>
  </r>
  <r>
    <x v="25"/>
    <x v="1"/>
    <n v="16844481"/>
    <x v="202"/>
    <x v="202"/>
  </r>
  <r>
    <x v="25"/>
    <x v="1"/>
    <n v="16861555"/>
    <x v="203"/>
    <x v="203"/>
  </r>
  <r>
    <x v="25"/>
    <x v="1"/>
    <n v="16874763"/>
    <x v="204"/>
    <x v="204"/>
  </r>
  <r>
    <x v="25"/>
    <x v="1"/>
    <n v="16908104"/>
    <x v="205"/>
    <x v="205"/>
  </r>
  <r>
    <x v="25"/>
    <x v="1"/>
    <n v="16938504"/>
    <x v="206"/>
    <x v="206"/>
  </r>
  <r>
    <x v="25"/>
    <x v="1"/>
    <n v="16951254"/>
    <x v="207"/>
    <x v="207"/>
  </r>
  <r>
    <x v="26"/>
    <x v="1"/>
    <n v="16971724"/>
    <x v="208"/>
    <x v="208"/>
  </r>
  <r>
    <x v="26"/>
    <x v="1"/>
    <n v="17015516"/>
    <x v="209"/>
    <x v="209"/>
  </r>
  <r>
    <x v="26"/>
    <x v="1"/>
    <n v="17049141"/>
    <x v="210"/>
    <x v="210"/>
  </r>
  <r>
    <x v="26"/>
    <x v="1"/>
    <n v="17054597"/>
    <x v="211"/>
    <x v="211"/>
  </r>
  <r>
    <x v="26"/>
    <x v="1"/>
    <n v="17080419"/>
    <x v="212"/>
    <x v="212"/>
  </r>
  <r>
    <x v="26"/>
    <x v="1"/>
    <n v="17089824"/>
    <x v="213"/>
    <x v="213"/>
  </r>
  <r>
    <x v="26"/>
    <x v="1"/>
    <n v="17093985"/>
    <x v="214"/>
    <x v="214"/>
  </r>
  <r>
    <x v="26"/>
    <x v="1"/>
    <n v="17122602"/>
    <x v="215"/>
    <x v="215"/>
  </r>
  <r>
    <x v="27"/>
    <x v="1"/>
    <n v="17136709"/>
    <x v="216"/>
    <x v="216"/>
  </r>
  <r>
    <x v="27"/>
    <x v="1"/>
    <n v="17152723"/>
    <x v="217"/>
    <x v="217"/>
  </r>
  <r>
    <x v="27"/>
    <x v="1"/>
    <n v="17177387"/>
    <x v="218"/>
    <x v="218"/>
  </r>
  <r>
    <x v="27"/>
    <x v="1"/>
    <n v="17181838"/>
    <x v="219"/>
    <x v="219"/>
  </r>
  <r>
    <x v="27"/>
    <x v="1"/>
    <n v="17224341"/>
    <x v="220"/>
    <x v="220"/>
  </r>
  <r>
    <x v="27"/>
    <x v="1"/>
    <n v="17240282"/>
    <x v="221"/>
    <x v="221"/>
  </r>
  <r>
    <x v="27"/>
    <x v="1"/>
    <n v="17288129"/>
    <x v="222"/>
    <x v="222"/>
  </r>
  <r>
    <x v="27"/>
    <x v="1"/>
    <n v="17291120"/>
    <x v="223"/>
    <x v="223"/>
  </r>
  <r>
    <x v="28"/>
    <x v="1"/>
    <n v="17336620"/>
    <x v="224"/>
    <x v="224"/>
  </r>
  <r>
    <x v="28"/>
    <x v="1"/>
    <n v="17379767"/>
    <x v="225"/>
    <x v="225"/>
  </r>
  <r>
    <x v="28"/>
    <x v="1"/>
    <n v="17382109"/>
    <x v="226"/>
    <x v="226"/>
  </r>
  <r>
    <x v="28"/>
    <x v="1"/>
    <n v="17410464"/>
    <x v="227"/>
    <x v="227"/>
  </r>
  <r>
    <x v="28"/>
    <x v="1"/>
    <n v="17450966"/>
    <x v="228"/>
    <x v="228"/>
  </r>
  <r>
    <x v="28"/>
    <x v="1"/>
    <n v="17471789"/>
    <x v="229"/>
    <x v="229"/>
  </r>
  <r>
    <x v="28"/>
    <x v="1"/>
    <n v="17509732"/>
    <x v="230"/>
    <x v="230"/>
  </r>
  <r>
    <x v="28"/>
    <x v="1"/>
    <n v="17548868"/>
    <x v="231"/>
    <x v="231"/>
  </r>
  <r>
    <x v="29"/>
    <x v="1"/>
    <n v="17568728"/>
    <x v="232"/>
    <x v="232"/>
  </r>
  <r>
    <x v="29"/>
    <x v="1"/>
    <n v="17590433"/>
    <x v="233"/>
    <x v="233"/>
  </r>
  <r>
    <x v="29"/>
    <x v="1"/>
    <n v="17596153"/>
    <x v="234"/>
    <x v="234"/>
  </r>
  <r>
    <x v="29"/>
    <x v="1"/>
    <n v="17633124"/>
    <x v="235"/>
    <x v="235"/>
  </r>
  <r>
    <x v="29"/>
    <x v="1"/>
    <n v="17647025"/>
    <x v="236"/>
    <x v="236"/>
  </r>
  <r>
    <x v="29"/>
    <x v="1"/>
    <n v="17655251"/>
    <x v="237"/>
    <x v="237"/>
  </r>
  <r>
    <x v="29"/>
    <x v="1"/>
    <n v="17685611"/>
    <x v="238"/>
    <x v="238"/>
  </r>
  <r>
    <x v="29"/>
    <x v="1"/>
    <n v="17708813"/>
    <x v="239"/>
    <x v="239"/>
  </r>
  <r>
    <x v="30"/>
    <x v="1"/>
    <n v="17758798"/>
    <x v="240"/>
    <x v="240"/>
  </r>
  <r>
    <x v="30"/>
    <x v="1"/>
    <n v="17778552"/>
    <x v="241"/>
    <x v="241"/>
  </r>
  <r>
    <x v="30"/>
    <x v="1"/>
    <n v="17802364"/>
    <x v="242"/>
    <x v="242"/>
  </r>
  <r>
    <x v="30"/>
    <x v="1"/>
    <n v="17837489"/>
    <x v="243"/>
    <x v="243"/>
  </r>
  <r>
    <x v="30"/>
    <x v="1"/>
    <n v="17862744"/>
    <x v="244"/>
    <x v="244"/>
  </r>
  <r>
    <x v="30"/>
    <x v="1"/>
    <n v="17875438"/>
    <x v="245"/>
    <x v="245"/>
  </r>
  <r>
    <x v="30"/>
    <x v="1"/>
    <n v="17916914"/>
    <x v="246"/>
    <x v="246"/>
  </r>
  <r>
    <x v="30"/>
    <x v="1"/>
    <n v="17935196"/>
    <x v="247"/>
    <x v="247"/>
  </r>
  <r>
    <x v="31"/>
    <x v="1"/>
    <n v="17964952"/>
    <x v="248"/>
    <x v="248"/>
  </r>
  <r>
    <x v="31"/>
    <x v="1"/>
    <n v="17992805"/>
    <x v="249"/>
    <x v="249"/>
  </r>
  <r>
    <x v="31"/>
    <x v="1"/>
    <n v="18016212"/>
    <x v="250"/>
    <x v="250"/>
  </r>
  <r>
    <x v="31"/>
    <x v="1"/>
    <n v="18034708"/>
    <x v="251"/>
    <x v="251"/>
  </r>
  <r>
    <x v="31"/>
    <x v="1"/>
    <n v="18051082"/>
    <x v="252"/>
    <x v="252"/>
  </r>
  <r>
    <x v="31"/>
    <x v="1"/>
    <n v="18070404"/>
    <x v="253"/>
    <x v="253"/>
  </r>
  <r>
    <x v="31"/>
    <x v="1"/>
    <n v="18094814"/>
    <x v="254"/>
    <x v="254"/>
  </r>
  <r>
    <x v="31"/>
    <x v="1"/>
    <n v="18116265"/>
    <x v="255"/>
    <x v="255"/>
  </r>
  <r>
    <x v="32"/>
    <x v="1"/>
    <n v="18154248"/>
    <x v="256"/>
    <x v="256"/>
  </r>
  <r>
    <x v="32"/>
    <x v="1"/>
    <n v="18167212"/>
    <x v="257"/>
    <x v="257"/>
  </r>
  <r>
    <x v="32"/>
    <x v="1"/>
    <n v="18187137"/>
    <x v="258"/>
    <x v="258"/>
  </r>
  <r>
    <x v="32"/>
    <x v="1"/>
    <n v="18189283"/>
    <x v="259"/>
    <x v="259"/>
  </r>
  <r>
    <x v="32"/>
    <x v="1"/>
    <n v="18193069"/>
    <x v="260"/>
    <x v="260"/>
  </r>
  <r>
    <x v="32"/>
    <x v="1"/>
    <n v="18198345"/>
    <x v="261"/>
    <x v="261"/>
  </r>
  <r>
    <x v="32"/>
    <x v="1"/>
    <n v="18199768"/>
    <x v="262"/>
    <x v="262"/>
  </r>
  <r>
    <x v="32"/>
    <x v="1"/>
    <n v="18234581"/>
    <x v="263"/>
    <x v="263"/>
  </r>
  <r>
    <x v="33"/>
    <x v="1"/>
    <n v="18249102"/>
    <x v="264"/>
    <x v="264"/>
  </r>
  <r>
    <x v="33"/>
    <x v="1"/>
    <n v="18250385"/>
    <x v="265"/>
    <x v="265"/>
  </r>
  <r>
    <x v="33"/>
    <x v="1"/>
    <n v="18261400"/>
    <x v="266"/>
    <x v="266"/>
  </r>
  <r>
    <x v="33"/>
    <x v="1"/>
    <n v="18292379"/>
    <x v="267"/>
    <x v="267"/>
  </r>
  <r>
    <x v="33"/>
    <x v="1"/>
    <n v="18305394"/>
    <x v="268"/>
    <x v="268"/>
  </r>
  <r>
    <x v="33"/>
    <x v="1"/>
    <n v="18326584"/>
    <x v="269"/>
    <x v="269"/>
  </r>
  <r>
    <x v="33"/>
    <x v="1"/>
    <n v="18347499"/>
    <x v="270"/>
    <x v="270"/>
  </r>
  <r>
    <x v="33"/>
    <x v="1"/>
    <n v="18350250"/>
    <x v="271"/>
    <x v="271"/>
  </r>
  <r>
    <x v="34"/>
    <x v="1"/>
    <n v="18387081"/>
    <x v="272"/>
    <x v="272"/>
  </r>
  <r>
    <x v="34"/>
    <x v="1"/>
    <n v="18432602"/>
    <x v="273"/>
    <x v="273"/>
  </r>
  <r>
    <x v="34"/>
    <x v="1"/>
    <n v="18440143"/>
    <x v="274"/>
    <x v="274"/>
  </r>
  <r>
    <x v="34"/>
    <x v="1"/>
    <n v="18485541"/>
    <x v="275"/>
    <x v="275"/>
  </r>
  <r>
    <x v="34"/>
    <x v="1"/>
    <n v="18524319"/>
    <x v="276"/>
    <x v="276"/>
  </r>
  <r>
    <x v="34"/>
    <x v="1"/>
    <n v="18533899"/>
    <x v="277"/>
    <x v="277"/>
  </r>
  <r>
    <x v="34"/>
    <x v="1"/>
    <n v="18543630"/>
    <x v="278"/>
    <x v="278"/>
  </r>
  <r>
    <x v="34"/>
    <x v="1"/>
    <n v="18557490"/>
    <x v="279"/>
    <x v="279"/>
  </r>
  <r>
    <x v="35"/>
    <x v="1"/>
    <n v="18579704"/>
    <x v="280"/>
    <x v="280"/>
  </r>
  <r>
    <x v="35"/>
    <x v="1"/>
    <n v="18623050"/>
    <x v="281"/>
    <x v="281"/>
  </r>
  <r>
    <x v="35"/>
    <x v="1"/>
    <n v="18660219"/>
    <x v="282"/>
    <x v="282"/>
  </r>
  <r>
    <x v="35"/>
    <x v="1"/>
    <n v="18671945"/>
    <x v="283"/>
    <x v="283"/>
  </r>
  <r>
    <x v="35"/>
    <x v="1"/>
    <n v="18696968"/>
    <x v="284"/>
    <x v="284"/>
  </r>
  <r>
    <x v="35"/>
    <x v="1"/>
    <n v="18700389"/>
    <x v="285"/>
    <x v="285"/>
  </r>
  <r>
    <x v="35"/>
    <x v="1"/>
    <n v="18709259"/>
    <x v="286"/>
    <x v="286"/>
  </r>
  <r>
    <x v="35"/>
    <x v="1"/>
    <n v="18746041"/>
    <x v="287"/>
    <x v="287"/>
  </r>
  <r>
    <x v="36"/>
    <x v="1"/>
    <n v="18764087"/>
    <x v="288"/>
    <x v="288"/>
  </r>
  <r>
    <x v="36"/>
    <x v="1"/>
    <n v="18803965"/>
    <x v="289"/>
    <x v="289"/>
  </r>
  <r>
    <x v="36"/>
    <x v="1"/>
    <n v="18832694"/>
    <x v="290"/>
    <x v="290"/>
  </r>
  <r>
    <x v="36"/>
    <x v="1"/>
    <n v="18879191"/>
    <x v="291"/>
    <x v="291"/>
  </r>
  <r>
    <x v="36"/>
    <x v="1"/>
    <n v="18911778"/>
    <x v="292"/>
    <x v="292"/>
  </r>
  <r>
    <x v="36"/>
    <x v="1"/>
    <n v="18947965"/>
    <x v="293"/>
    <x v="293"/>
  </r>
  <r>
    <x v="36"/>
    <x v="1"/>
    <n v="18982363"/>
    <x v="294"/>
    <x v="294"/>
  </r>
  <r>
    <x v="36"/>
    <x v="1"/>
    <n v="19008236"/>
    <x v="295"/>
    <x v="295"/>
  </r>
  <r>
    <x v="37"/>
    <x v="1"/>
    <n v="19033009"/>
    <x v="296"/>
    <x v="296"/>
  </r>
  <r>
    <x v="37"/>
    <x v="1"/>
    <n v="19052477"/>
    <x v="297"/>
    <x v="297"/>
  </r>
  <r>
    <x v="37"/>
    <x v="1"/>
    <n v="19075429"/>
    <x v="298"/>
    <x v="298"/>
  </r>
  <r>
    <x v="37"/>
    <x v="1"/>
    <n v="19106244"/>
    <x v="299"/>
    <x v="299"/>
  </r>
  <r>
    <x v="37"/>
    <x v="2"/>
    <n v="13593348"/>
    <x v="300"/>
    <x v="300"/>
  </r>
  <r>
    <x v="37"/>
    <x v="2"/>
    <n v="13628742"/>
    <x v="301"/>
    <x v="301"/>
  </r>
  <r>
    <x v="37"/>
    <x v="2"/>
    <n v="13665024"/>
    <x v="302"/>
    <x v="302"/>
  </r>
  <r>
    <x v="37"/>
    <x v="2"/>
    <n v="13667607"/>
    <x v="303"/>
    <x v="303"/>
  </r>
  <r>
    <x v="38"/>
    <x v="2"/>
    <n v="13700087"/>
    <x v="304"/>
    <x v="304"/>
  </r>
  <r>
    <x v="38"/>
    <x v="2"/>
    <n v="13739794"/>
    <x v="305"/>
    <x v="305"/>
  </r>
  <r>
    <x v="38"/>
    <x v="2"/>
    <n v="13785560"/>
    <x v="306"/>
    <x v="306"/>
  </r>
  <r>
    <x v="38"/>
    <x v="2"/>
    <n v="13791373"/>
    <x v="307"/>
    <x v="307"/>
  </r>
  <r>
    <x v="38"/>
    <x v="2"/>
    <n v="13794377"/>
    <x v="308"/>
    <x v="308"/>
  </r>
  <r>
    <x v="38"/>
    <x v="2"/>
    <n v="13827802"/>
    <x v="309"/>
    <x v="309"/>
  </r>
  <r>
    <x v="38"/>
    <x v="2"/>
    <n v="13873052"/>
    <x v="310"/>
    <x v="310"/>
  </r>
  <r>
    <x v="38"/>
    <x v="2"/>
    <n v="13912795"/>
    <x v="311"/>
    <x v="311"/>
  </r>
  <r>
    <x v="39"/>
    <x v="2"/>
    <n v="13934394"/>
    <x v="312"/>
    <x v="312"/>
  </r>
  <r>
    <x v="39"/>
    <x v="2"/>
    <n v="13962900"/>
    <x v="313"/>
    <x v="313"/>
  </r>
  <r>
    <x v="39"/>
    <x v="2"/>
    <n v="13991688"/>
    <x v="314"/>
    <x v="314"/>
  </r>
  <r>
    <x v="39"/>
    <x v="2"/>
    <n v="14027892"/>
    <x v="315"/>
    <x v="315"/>
  </r>
  <r>
    <x v="39"/>
    <x v="2"/>
    <n v="14034486"/>
    <x v="316"/>
    <x v="316"/>
  </r>
  <r>
    <x v="39"/>
    <x v="2"/>
    <n v="14035969"/>
    <x v="317"/>
    <x v="317"/>
  </r>
  <r>
    <x v="39"/>
    <x v="2"/>
    <n v="14077794"/>
    <x v="318"/>
    <x v="318"/>
  </r>
  <r>
    <x v="39"/>
    <x v="2"/>
    <n v="14105454"/>
    <x v="319"/>
    <x v="319"/>
  </r>
  <r>
    <x v="40"/>
    <x v="2"/>
    <n v="14148991"/>
    <x v="320"/>
    <x v="320"/>
  </r>
  <r>
    <x v="40"/>
    <x v="2"/>
    <n v="14194846"/>
    <x v="321"/>
    <x v="321"/>
  </r>
  <r>
    <x v="40"/>
    <x v="2"/>
    <n v="14244523"/>
    <x v="322"/>
    <x v="322"/>
  </r>
  <r>
    <x v="40"/>
    <x v="2"/>
    <n v="14261299"/>
    <x v="323"/>
    <x v="323"/>
  </r>
  <r>
    <x v="40"/>
    <x v="2"/>
    <n v="14292569"/>
    <x v="324"/>
    <x v="324"/>
  </r>
  <r>
    <x v="40"/>
    <x v="2"/>
    <n v="14306788"/>
    <x v="325"/>
    <x v="325"/>
  </r>
  <r>
    <x v="40"/>
    <x v="2"/>
    <n v="14318283"/>
    <x v="326"/>
    <x v="326"/>
  </r>
  <r>
    <x v="40"/>
    <x v="2"/>
    <n v="14339170"/>
    <x v="327"/>
    <x v="327"/>
  </r>
  <r>
    <x v="41"/>
    <x v="2"/>
    <n v="14347501"/>
    <x v="328"/>
    <x v="328"/>
  </r>
  <r>
    <x v="41"/>
    <x v="2"/>
    <n v="14373475"/>
    <x v="329"/>
    <x v="329"/>
  </r>
  <r>
    <x v="41"/>
    <x v="2"/>
    <n v="14411524"/>
    <x v="330"/>
    <x v="330"/>
  </r>
  <r>
    <x v="41"/>
    <x v="2"/>
    <n v="14461129"/>
    <x v="331"/>
    <x v="331"/>
  </r>
  <r>
    <x v="41"/>
    <x v="2"/>
    <n v="14468499"/>
    <x v="332"/>
    <x v="332"/>
  </r>
  <r>
    <x v="41"/>
    <x v="2"/>
    <n v="14515948"/>
    <x v="333"/>
    <x v="333"/>
  </r>
  <r>
    <x v="41"/>
    <x v="2"/>
    <n v="14554767"/>
    <x v="334"/>
    <x v="334"/>
  </r>
  <r>
    <x v="41"/>
    <x v="2"/>
    <n v="14583311"/>
    <x v="335"/>
    <x v="335"/>
  </r>
  <r>
    <x v="42"/>
    <x v="2"/>
    <n v="14628892"/>
    <x v="336"/>
    <x v="336"/>
  </r>
  <r>
    <x v="42"/>
    <x v="2"/>
    <n v="14669133"/>
    <x v="337"/>
    <x v="337"/>
  </r>
  <r>
    <x v="42"/>
    <x v="2"/>
    <n v="14714769"/>
    <x v="338"/>
    <x v="338"/>
  </r>
  <r>
    <x v="42"/>
    <x v="2"/>
    <n v="14731188"/>
    <x v="339"/>
    <x v="339"/>
  </r>
  <r>
    <x v="42"/>
    <x v="2"/>
    <n v="14765728"/>
    <x v="340"/>
    <x v="340"/>
  </r>
  <r>
    <x v="42"/>
    <x v="2"/>
    <n v="14775433"/>
    <x v="341"/>
    <x v="341"/>
  </r>
  <r>
    <x v="42"/>
    <x v="2"/>
    <n v="14793212"/>
    <x v="342"/>
    <x v="342"/>
  </r>
  <r>
    <x v="42"/>
    <x v="2"/>
    <n v="14816765"/>
    <x v="343"/>
    <x v="343"/>
  </r>
  <r>
    <x v="43"/>
    <x v="2"/>
    <n v="14828944"/>
    <x v="344"/>
    <x v="344"/>
  </r>
  <r>
    <x v="43"/>
    <x v="2"/>
    <n v="14854586"/>
    <x v="345"/>
    <x v="345"/>
  </r>
  <r>
    <x v="43"/>
    <x v="2"/>
    <n v="14900854"/>
    <x v="346"/>
    <x v="346"/>
  </r>
  <r>
    <x v="43"/>
    <x v="2"/>
    <n v="14933159"/>
    <x v="347"/>
    <x v="347"/>
  </r>
  <r>
    <x v="43"/>
    <x v="2"/>
    <n v="14958510"/>
    <x v="348"/>
    <x v="348"/>
  </r>
  <r>
    <x v="43"/>
    <x v="2"/>
    <n v="14963738"/>
    <x v="349"/>
    <x v="349"/>
  </r>
  <r>
    <x v="43"/>
    <x v="2"/>
    <n v="15003590"/>
    <x v="350"/>
    <x v="350"/>
  </r>
  <r>
    <x v="43"/>
    <x v="2"/>
    <n v="15004956"/>
    <x v="351"/>
    <x v="351"/>
  </r>
  <r>
    <x v="44"/>
    <x v="2"/>
    <n v="15018419"/>
    <x v="352"/>
    <x v="352"/>
  </r>
  <r>
    <x v="44"/>
    <x v="2"/>
    <n v="15060011"/>
    <x v="353"/>
    <x v="353"/>
  </r>
  <r>
    <x v="44"/>
    <x v="2"/>
    <n v="15098962"/>
    <x v="354"/>
    <x v="354"/>
  </r>
  <r>
    <x v="44"/>
    <x v="2"/>
    <n v="15138361"/>
    <x v="355"/>
    <x v="355"/>
  </r>
  <r>
    <x v="44"/>
    <x v="2"/>
    <n v="15152422"/>
    <x v="356"/>
    <x v="356"/>
  </r>
  <r>
    <x v="44"/>
    <x v="2"/>
    <n v="15182420"/>
    <x v="357"/>
    <x v="357"/>
  </r>
  <r>
    <x v="44"/>
    <x v="2"/>
    <n v="15232385"/>
    <x v="358"/>
    <x v="358"/>
  </r>
  <r>
    <x v="44"/>
    <x v="2"/>
    <n v="15278699"/>
    <x v="359"/>
    <x v="359"/>
  </r>
  <r>
    <x v="45"/>
    <x v="2"/>
    <n v="15318616"/>
    <x v="360"/>
    <x v="360"/>
  </r>
  <r>
    <x v="45"/>
    <x v="2"/>
    <n v="15326414"/>
    <x v="361"/>
    <x v="361"/>
  </r>
  <r>
    <x v="45"/>
    <x v="2"/>
    <n v="15341340"/>
    <x v="362"/>
    <x v="362"/>
  </r>
  <r>
    <x v="45"/>
    <x v="2"/>
    <n v="15374424"/>
    <x v="363"/>
    <x v="363"/>
  </r>
  <r>
    <x v="45"/>
    <x v="2"/>
    <n v="15411442"/>
    <x v="364"/>
    <x v="364"/>
  </r>
  <r>
    <x v="45"/>
    <x v="2"/>
    <n v="15420139"/>
    <x v="365"/>
    <x v="365"/>
  </r>
  <r>
    <x v="45"/>
    <x v="2"/>
    <n v="15432049"/>
    <x v="366"/>
    <x v="366"/>
  </r>
  <r>
    <x v="45"/>
    <x v="2"/>
    <n v="15450862"/>
    <x v="367"/>
    <x v="367"/>
  </r>
  <r>
    <x v="46"/>
    <x v="2"/>
    <n v="15488418"/>
    <x v="368"/>
    <x v="368"/>
  </r>
  <r>
    <x v="46"/>
    <x v="2"/>
    <n v="15519423"/>
    <x v="369"/>
    <x v="369"/>
  </r>
  <r>
    <x v="46"/>
    <x v="2"/>
    <n v="15558770"/>
    <x v="370"/>
    <x v="370"/>
  </r>
  <r>
    <x v="46"/>
    <x v="2"/>
    <n v="15570125"/>
    <x v="371"/>
    <x v="371"/>
  </r>
  <r>
    <x v="46"/>
    <x v="2"/>
    <n v="15607379"/>
    <x v="372"/>
    <x v="372"/>
  </r>
  <r>
    <x v="46"/>
    <x v="2"/>
    <n v="15646781"/>
    <x v="373"/>
    <x v="373"/>
  </r>
  <r>
    <x v="46"/>
    <x v="2"/>
    <n v="15670966"/>
    <x v="374"/>
    <x v="374"/>
  </r>
  <r>
    <x v="46"/>
    <x v="2"/>
    <n v="15679596"/>
    <x v="375"/>
    <x v="375"/>
  </r>
  <r>
    <x v="47"/>
    <x v="2"/>
    <n v="15684920"/>
    <x v="376"/>
    <x v="376"/>
  </r>
  <r>
    <x v="47"/>
    <x v="2"/>
    <n v="15710361"/>
    <x v="377"/>
    <x v="377"/>
  </r>
  <r>
    <x v="47"/>
    <x v="2"/>
    <n v="15719991"/>
    <x v="378"/>
    <x v="378"/>
  </r>
  <r>
    <x v="47"/>
    <x v="2"/>
    <n v="15765716"/>
    <x v="379"/>
    <x v="379"/>
  </r>
  <r>
    <x v="47"/>
    <x v="2"/>
    <n v="15813475"/>
    <x v="380"/>
    <x v="380"/>
  </r>
  <r>
    <x v="47"/>
    <x v="2"/>
    <n v="15823600"/>
    <x v="381"/>
    <x v="381"/>
  </r>
  <r>
    <x v="47"/>
    <x v="2"/>
    <n v="15825973"/>
    <x v="382"/>
    <x v="382"/>
  </r>
  <r>
    <x v="47"/>
    <x v="2"/>
    <n v="15855623"/>
    <x v="383"/>
    <x v="383"/>
  </r>
  <r>
    <x v="48"/>
    <x v="2"/>
    <n v="15867972"/>
    <x v="384"/>
    <x v="384"/>
  </r>
  <r>
    <x v="48"/>
    <x v="2"/>
    <n v="15871224"/>
    <x v="385"/>
    <x v="385"/>
  </r>
  <r>
    <x v="48"/>
    <x v="2"/>
    <n v="15892741"/>
    <x v="386"/>
    <x v="386"/>
  </r>
  <r>
    <x v="48"/>
    <x v="2"/>
    <n v="15901662"/>
    <x v="387"/>
    <x v="387"/>
  </r>
  <r>
    <x v="48"/>
    <x v="2"/>
    <n v="15948711"/>
    <x v="388"/>
    <x v="388"/>
  </r>
  <r>
    <x v="48"/>
    <x v="2"/>
    <n v="15963081"/>
    <x v="389"/>
    <x v="389"/>
  </r>
  <r>
    <x v="48"/>
    <x v="2"/>
    <n v="15971650"/>
    <x v="390"/>
    <x v="390"/>
  </r>
  <r>
    <x v="48"/>
    <x v="2"/>
    <n v="15979516"/>
    <x v="391"/>
    <x v="391"/>
  </r>
  <r>
    <x v="49"/>
    <x v="2"/>
    <n v="16013205"/>
    <x v="392"/>
    <x v="392"/>
  </r>
  <r>
    <x v="49"/>
    <x v="2"/>
    <n v="16055459"/>
    <x v="393"/>
    <x v="393"/>
  </r>
  <r>
    <x v="49"/>
    <x v="2"/>
    <n v="16098273"/>
    <x v="394"/>
    <x v="394"/>
  </r>
  <r>
    <x v="49"/>
    <x v="2"/>
    <n v="16114345"/>
    <x v="395"/>
    <x v="395"/>
  </r>
  <r>
    <x v="49"/>
    <x v="2"/>
    <n v="16144704"/>
    <x v="396"/>
    <x v="396"/>
  </r>
  <r>
    <x v="49"/>
    <x v="2"/>
    <n v="16173502"/>
    <x v="397"/>
    <x v="397"/>
  </r>
  <r>
    <x v="49"/>
    <x v="2"/>
    <n v="16214868"/>
    <x v="398"/>
    <x v="398"/>
  </r>
  <r>
    <x v="49"/>
    <x v="2"/>
    <n v="16245903"/>
    <x v="399"/>
    <x v="399"/>
  </r>
  <r>
    <x v="50"/>
    <x v="2"/>
    <n v="16276858"/>
    <x v="400"/>
    <x v="400"/>
  </r>
  <r>
    <x v="50"/>
    <x v="2"/>
    <n v="16316630"/>
    <x v="401"/>
    <x v="401"/>
  </r>
  <r>
    <x v="50"/>
    <x v="2"/>
    <n v="16319511"/>
    <x v="402"/>
    <x v="402"/>
  </r>
  <r>
    <x v="50"/>
    <x v="2"/>
    <n v="16340558"/>
    <x v="403"/>
    <x v="403"/>
  </r>
  <r>
    <x v="50"/>
    <x v="2"/>
    <n v="16361203"/>
    <x v="404"/>
    <x v="404"/>
  </r>
  <r>
    <x v="50"/>
    <x v="2"/>
    <n v="16385622"/>
    <x v="405"/>
    <x v="405"/>
  </r>
  <r>
    <x v="50"/>
    <x v="2"/>
    <n v="16407409"/>
    <x v="406"/>
    <x v="406"/>
  </r>
  <r>
    <x v="50"/>
    <x v="2"/>
    <n v="16412533"/>
    <x v="407"/>
    <x v="407"/>
  </r>
  <r>
    <x v="51"/>
    <x v="2"/>
    <n v="16417073"/>
    <x v="408"/>
    <x v="408"/>
  </r>
  <r>
    <x v="51"/>
    <x v="2"/>
    <n v="16450373"/>
    <x v="409"/>
    <x v="409"/>
  </r>
  <r>
    <x v="51"/>
    <x v="2"/>
    <n v="16483550"/>
    <x v="410"/>
    <x v="410"/>
  </r>
  <r>
    <x v="51"/>
    <x v="2"/>
    <n v="16529807"/>
    <x v="411"/>
    <x v="411"/>
  </r>
  <r>
    <x v="51"/>
    <x v="2"/>
    <n v="16556305"/>
    <x v="412"/>
    <x v="412"/>
  </r>
  <r>
    <x v="51"/>
    <x v="2"/>
    <n v="16568305"/>
    <x v="413"/>
    <x v="413"/>
  </r>
  <r>
    <x v="51"/>
    <x v="2"/>
    <n v="16580046"/>
    <x v="414"/>
    <x v="414"/>
  </r>
  <r>
    <x v="51"/>
    <x v="2"/>
    <n v="16621065"/>
    <x v="415"/>
    <x v="415"/>
  </r>
  <r>
    <x v="52"/>
    <x v="2"/>
    <n v="16634567"/>
    <x v="416"/>
    <x v="416"/>
  </r>
  <r>
    <x v="52"/>
    <x v="2"/>
    <n v="16655236"/>
    <x v="417"/>
    <x v="417"/>
  </r>
  <r>
    <x v="52"/>
    <x v="2"/>
    <n v="16687637"/>
    <x v="418"/>
    <x v="418"/>
  </r>
  <r>
    <x v="52"/>
    <x v="2"/>
    <n v="16710400"/>
    <x v="419"/>
    <x v="419"/>
  </r>
  <r>
    <x v="52"/>
    <x v="2"/>
    <n v="16744650"/>
    <x v="420"/>
    <x v="420"/>
  </r>
  <r>
    <x v="52"/>
    <x v="2"/>
    <n v="16783022"/>
    <x v="421"/>
    <x v="421"/>
  </r>
  <r>
    <x v="52"/>
    <x v="2"/>
    <n v="16799162"/>
    <x v="422"/>
    <x v="422"/>
  </r>
  <r>
    <x v="52"/>
    <x v="2"/>
    <n v="16843790"/>
    <x v="423"/>
    <x v="423"/>
  </r>
  <r>
    <x v="53"/>
    <x v="2"/>
    <n v="16859708"/>
    <x v="424"/>
    <x v="424"/>
  </r>
  <r>
    <x v="53"/>
    <x v="2"/>
    <n v="16869652"/>
    <x v="425"/>
    <x v="425"/>
  </r>
  <r>
    <x v="53"/>
    <x v="2"/>
    <n v="16889635"/>
    <x v="426"/>
    <x v="426"/>
  </r>
  <r>
    <x v="53"/>
    <x v="2"/>
    <n v="16902983"/>
    <x v="427"/>
    <x v="427"/>
  </r>
  <r>
    <x v="53"/>
    <x v="2"/>
    <n v="16914079"/>
    <x v="428"/>
    <x v="428"/>
  </r>
  <r>
    <x v="53"/>
    <x v="2"/>
    <n v="16926963"/>
    <x v="429"/>
    <x v="429"/>
  </r>
  <r>
    <x v="53"/>
    <x v="2"/>
    <n v="16956991"/>
    <x v="430"/>
    <x v="430"/>
  </r>
  <r>
    <x v="53"/>
    <x v="2"/>
    <n v="16995159"/>
    <x v="431"/>
    <x v="431"/>
  </r>
  <r>
    <x v="54"/>
    <x v="2"/>
    <n v="17003570"/>
    <x v="432"/>
    <x v="432"/>
  </r>
  <r>
    <x v="54"/>
    <x v="2"/>
    <n v="17023566"/>
    <x v="433"/>
    <x v="433"/>
  </r>
  <r>
    <x v="54"/>
    <x v="2"/>
    <n v="17040569"/>
    <x v="434"/>
    <x v="434"/>
  </r>
  <r>
    <x v="54"/>
    <x v="2"/>
    <n v="17056811"/>
    <x v="435"/>
    <x v="435"/>
  </r>
  <r>
    <x v="54"/>
    <x v="2"/>
    <n v="17085857"/>
    <x v="436"/>
    <x v="436"/>
  </r>
  <r>
    <x v="54"/>
    <x v="2"/>
    <n v="17106865"/>
    <x v="437"/>
    <x v="437"/>
  </r>
  <r>
    <x v="54"/>
    <x v="2"/>
    <n v="17137096"/>
    <x v="438"/>
    <x v="438"/>
  </r>
  <r>
    <x v="54"/>
    <x v="2"/>
    <n v="17148050"/>
    <x v="439"/>
    <x v="439"/>
  </r>
  <r>
    <x v="55"/>
    <x v="2"/>
    <n v="17179551"/>
    <x v="440"/>
    <x v="440"/>
  </r>
  <r>
    <x v="55"/>
    <x v="2"/>
    <n v="17200306"/>
    <x v="441"/>
    <x v="441"/>
  </r>
  <r>
    <x v="55"/>
    <x v="2"/>
    <n v="17202386"/>
    <x v="442"/>
    <x v="442"/>
  </r>
  <r>
    <x v="55"/>
    <x v="2"/>
    <n v="17243466"/>
    <x v="443"/>
    <x v="443"/>
  </r>
  <r>
    <x v="55"/>
    <x v="2"/>
    <n v="17281198"/>
    <x v="444"/>
    <x v="444"/>
  </r>
  <r>
    <x v="55"/>
    <x v="2"/>
    <n v="17306705"/>
    <x v="445"/>
    <x v="445"/>
  </r>
  <r>
    <x v="55"/>
    <x v="2"/>
    <n v="17309813"/>
    <x v="446"/>
    <x v="446"/>
  </r>
  <r>
    <x v="55"/>
    <x v="2"/>
    <n v="17355948"/>
    <x v="447"/>
    <x v="447"/>
  </r>
  <r>
    <x v="56"/>
    <x v="2"/>
    <n v="17404969"/>
    <x v="448"/>
    <x v="448"/>
  </r>
  <r>
    <x v="56"/>
    <x v="2"/>
    <n v="17424870"/>
    <x v="449"/>
    <x v="449"/>
  </r>
  <r>
    <x v="56"/>
    <x v="3"/>
    <n v="15993404"/>
    <x v="450"/>
    <x v="450"/>
  </r>
  <r>
    <x v="56"/>
    <x v="3"/>
    <n v="15997126"/>
    <x v="451"/>
    <x v="451"/>
  </r>
  <r>
    <x v="56"/>
    <x v="3"/>
    <n v="16024303"/>
    <x v="452"/>
    <x v="452"/>
  </r>
  <r>
    <x v="56"/>
    <x v="3"/>
    <n v="16034192"/>
    <x v="453"/>
    <x v="453"/>
  </r>
  <r>
    <x v="56"/>
    <x v="3"/>
    <n v="16060655"/>
    <x v="454"/>
    <x v="454"/>
  </r>
  <r>
    <x v="56"/>
    <x v="3"/>
    <n v="16101749"/>
    <x v="455"/>
    <x v="455"/>
  </r>
  <r>
    <x v="57"/>
    <x v="3"/>
    <n v="16129088"/>
    <x v="456"/>
    <x v="456"/>
  </r>
  <r>
    <x v="57"/>
    <x v="3"/>
    <n v="16159199"/>
    <x v="457"/>
    <x v="457"/>
  </r>
  <r>
    <x v="57"/>
    <x v="3"/>
    <n v="16187037"/>
    <x v="458"/>
    <x v="458"/>
  </r>
  <r>
    <x v="57"/>
    <x v="3"/>
    <n v="16214036"/>
    <x v="459"/>
    <x v="459"/>
  </r>
  <r>
    <x v="57"/>
    <x v="3"/>
    <n v="16226092"/>
    <x v="460"/>
    <x v="460"/>
  </r>
  <r>
    <x v="57"/>
    <x v="3"/>
    <n v="16271518"/>
    <x v="461"/>
    <x v="461"/>
  </r>
  <r>
    <x v="57"/>
    <x v="3"/>
    <n v="16287331"/>
    <x v="462"/>
    <x v="462"/>
  </r>
  <r>
    <x v="57"/>
    <x v="3"/>
    <n v="16334442"/>
    <x v="463"/>
    <x v="463"/>
  </r>
  <r>
    <x v="58"/>
    <x v="3"/>
    <n v="16349426"/>
    <x v="464"/>
    <x v="464"/>
  </r>
  <r>
    <x v="58"/>
    <x v="3"/>
    <n v="16357359"/>
    <x v="465"/>
    <x v="465"/>
  </r>
  <r>
    <x v="58"/>
    <x v="3"/>
    <n v="16384349"/>
    <x v="466"/>
    <x v="466"/>
  </r>
  <r>
    <x v="58"/>
    <x v="3"/>
    <n v="16413552"/>
    <x v="467"/>
    <x v="467"/>
  </r>
  <r>
    <x v="58"/>
    <x v="3"/>
    <n v="16416170"/>
    <x v="468"/>
    <x v="468"/>
  </r>
  <r>
    <x v="58"/>
    <x v="3"/>
    <n v="16434623"/>
    <x v="469"/>
    <x v="469"/>
  </r>
  <r>
    <x v="58"/>
    <x v="3"/>
    <n v="16452757"/>
    <x v="470"/>
    <x v="470"/>
  </r>
  <r>
    <x v="58"/>
    <x v="3"/>
    <n v="16462586"/>
    <x v="471"/>
    <x v="471"/>
  </r>
  <r>
    <x v="59"/>
    <x v="3"/>
    <n v="16466816"/>
    <x v="472"/>
    <x v="472"/>
  </r>
  <r>
    <x v="59"/>
    <x v="3"/>
    <n v="16493869"/>
    <x v="473"/>
    <x v="473"/>
  </r>
  <r>
    <x v="59"/>
    <x v="3"/>
    <n v="16534904"/>
    <x v="474"/>
    <x v="474"/>
  </r>
  <r>
    <x v="59"/>
    <x v="3"/>
    <n v="16557022"/>
    <x v="475"/>
    <x v="475"/>
  </r>
  <r>
    <x v="59"/>
    <x v="3"/>
    <n v="16575679"/>
    <x v="476"/>
    <x v="476"/>
  </r>
  <r>
    <x v="59"/>
    <x v="3"/>
    <n v="16600257"/>
    <x v="477"/>
    <x v="477"/>
  </r>
  <r>
    <x v="59"/>
    <x v="3"/>
    <n v="16646416"/>
    <x v="478"/>
    <x v="478"/>
  </r>
  <r>
    <x v="59"/>
    <x v="3"/>
    <n v="16665687"/>
    <x v="479"/>
    <x v="479"/>
  </r>
  <r>
    <x v="60"/>
    <x v="3"/>
    <n v="16678689"/>
    <x v="480"/>
    <x v="480"/>
  </r>
  <r>
    <x v="60"/>
    <x v="3"/>
    <n v="16709238"/>
    <x v="481"/>
    <x v="481"/>
  </r>
  <r>
    <x v="60"/>
    <x v="3"/>
    <n v="16741908"/>
    <x v="482"/>
    <x v="482"/>
  </r>
  <r>
    <x v="60"/>
    <x v="3"/>
    <n v="16787071"/>
    <x v="483"/>
    <x v="483"/>
  </r>
  <r>
    <x v="60"/>
    <x v="3"/>
    <n v="16831809"/>
    <x v="484"/>
    <x v="484"/>
  </r>
  <r>
    <x v="60"/>
    <x v="3"/>
    <n v="16844368"/>
    <x v="485"/>
    <x v="485"/>
  </r>
  <r>
    <x v="60"/>
    <x v="3"/>
    <n v="16871734"/>
    <x v="486"/>
    <x v="486"/>
  </r>
  <r>
    <x v="60"/>
    <x v="3"/>
    <n v="16893024"/>
    <x v="487"/>
    <x v="487"/>
  </r>
  <r>
    <x v="61"/>
    <x v="3"/>
    <n v="16898122"/>
    <x v="488"/>
    <x v="488"/>
  </r>
  <r>
    <x v="61"/>
    <x v="3"/>
    <n v="16947500"/>
    <x v="489"/>
    <x v="489"/>
  </r>
  <r>
    <x v="61"/>
    <x v="3"/>
    <n v="16958530"/>
    <x v="490"/>
    <x v="490"/>
  </r>
  <r>
    <x v="61"/>
    <x v="3"/>
    <n v="16969097"/>
    <x v="491"/>
    <x v="491"/>
  </r>
  <r>
    <x v="61"/>
    <x v="3"/>
    <n v="16972394"/>
    <x v="492"/>
    <x v="492"/>
  </r>
  <r>
    <x v="61"/>
    <x v="3"/>
    <n v="16992621"/>
    <x v="493"/>
    <x v="493"/>
  </r>
  <r>
    <x v="61"/>
    <x v="3"/>
    <n v="17005220"/>
    <x v="494"/>
    <x v="494"/>
  </r>
  <r>
    <x v="61"/>
    <x v="3"/>
    <n v="17032364"/>
    <x v="495"/>
    <x v="495"/>
  </r>
  <r>
    <x v="62"/>
    <x v="3"/>
    <n v="17047900"/>
    <x v="496"/>
    <x v="496"/>
  </r>
  <r>
    <x v="62"/>
    <x v="3"/>
    <n v="17062829"/>
    <x v="497"/>
    <x v="497"/>
  </r>
  <r>
    <x v="62"/>
    <x v="3"/>
    <n v="17069539"/>
    <x v="498"/>
    <x v="498"/>
  </r>
  <r>
    <x v="62"/>
    <x v="3"/>
    <n v="17093627"/>
    <x v="499"/>
    <x v="499"/>
  </r>
  <r>
    <x v="62"/>
    <x v="3"/>
    <n v="17096312"/>
    <x v="500"/>
    <x v="500"/>
  </r>
  <r>
    <x v="62"/>
    <x v="3"/>
    <n v="17099669"/>
    <x v="501"/>
    <x v="501"/>
  </r>
  <r>
    <x v="62"/>
    <x v="3"/>
    <n v="17136717"/>
    <x v="502"/>
    <x v="502"/>
  </r>
  <r>
    <x v="62"/>
    <x v="3"/>
    <n v="17176650"/>
    <x v="503"/>
    <x v="503"/>
  </r>
  <r>
    <x v="63"/>
    <x v="3"/>
    <n v="17205100"/>
    <x v="504"/>
    <x v="504"/>
  </r>
  <r>
    <x v="63"/>
    <x v="3"/>
    <n v="17220977"/>
    <x v="505"/>
    <x v="505"/>
  </r>
  <r>
    <x v="63"/>
    <x v="3"/>
    <n v="17259495"/>
    <x v="506"/>
    <x v="506"/>
  </r>
  <r>
    <x v="63"/>
    <x v="3"/>
    <n v="17266176"/>
    <x v="507"/>
    <x v="507"/>
  </r>
  <r>
    <x v="63"/>
    <x v="3"/>
    <n v="17292292"/>
    <x v="508"/>
    <x v="508"/>
  </r>
  <r>
    <x v="63"/>
    <x v="3"/>
    <n v="17334652"/>
    <x v="509"/>
    <x v="509"/>
  </r>
  <r>
    <x v="63"/>
    <x v="3"/>
    <n v="17356925"/>
    <x v="510"/>
    <x v="510"/>
  </r>
  <r>
    <x v="63"/>
    <x v="3"/>
    <n v="17382396"/>
    <x v="511"/>
    <x v="511"/>
  </r>
  <r>
    <x v="64"/>
    <x v="3"/>
    <n v="17431397"/>
    <x v="512"/>
    <x v="512"/>
  </r>
  <r>
    <x v="64"/>
    <x v="3"/>
    <n v="17441137"/>
    <x v="513"/>
    <x v="513"/>
  </r>
  <r>
    <x v="64"/>
    <x v="3"/>
    <n v="17470111"/>
    <x v="514"/>
    <x v="514"/>
  </r>
  <r>
    <x v="64"/>
    <x v="3"/>
    <n v="17497323"/>
    <x v="515"/>
    <x v="515"/>
  </r>
  <r>
    <x v="64"/>
    <x v="3"/>
    <n v="17529534"/>
    <x v="516"/>
    <x v="516"/>
  </r>
  <r>
    <x v="64"/>
    <x v="3"/>
    <n v="17532062"/>
    <x v="517"/>
    <x v="517"/>
  </r>
  <r>
    <x v="64"/>
    <x v="3"/>
    <n v="17546637"/>
    <x v="518"/>
    <x v="518"/>
  </r>
  <r>
    <x v="64"/>
    <x v="3"/>
    <n v="17556141"/>
    <x v="519"/>
    <x v="519"/>
  </r>
  <r>
    <x v="65"/>
    <x v="3"/>
    <n v="17578334"/>
    <x v="520"/>
    <x v="520"/>
  </r>
  <r>
    <x v="65"/>
    <x v="3"/>
    <n v="17618804"/>
    <x v="521"/>
    <x v="521"/>
  </r>
  <r>
    <x v="65"/>
    <x v="3"/>
    <n v="17652224"/>
    <x v="522"/>
    <x v="522"/>
  </r>
  <r>
    <x v="65"/>
    <x v="3"/>
    <n v="17661132"/>
    <x v="523"/>
    <x v="523"/>
  </r>
  <r>
    <x v="65"/>
    <x v="3"/>
    <n v="17697513"/>
    <x v="524"/>
    <x v="524"/>
  </r>
  <r>
    <x v="65"/>
    <x v="3"/>
    <n v="17724999"/>
    <x v="525"/>
    <x v="525"/>
  </r>
  <r>
    <x v="65"/>
    <x v="3"/>
    <n v="17768166"/>
    <x v="526"/>
    <x v="526"/>
  </r>
  <r>
    <x v="65"/>
    <x v="3"/>
    <n v="17786449"/>
    <x v="527"/>
    <x v="527"/>
  </r>
  <r>
    <x v="66"/>
    <x v="3"/>
    <n v="17835533"/>
    <x v="528"/>
    <x v="528"/>
  </r>
  <r>
    <x v="66"/>
    <x v="3"/>
    <n v="17876977"/>
    <x v="529"/>
    <x v="529"/>
  </r>
  <r>
    <x v="66"/>
    <x v="3"/>
    <n v="17893143"/>
    <x v="530"/>
    <x v="530"/>
  </r>
  <r>
    <x v="66"/>
    <x v="3"/>
    <n v="17936110"/>
    <x v="531"/>
    <x v="531"/>
  </r>
  <r>
    <x v="66"/>
    <x v="3"/>
    <n v="17980733"/>
    <x v="532"/>
    <x v="532"/>
  </r>
  <r>
    <x v="66"/>
    <x v="3"/>
    <n v="18003251"/>
    <x v="533"/>
    <x v="533"/>
  </r>
  <r>
    <x v="66"/>
    <x v="3"/>
    <n v="18031958"/>
    <x v="534"/>
    <x v="534"/>
  </r>
  <r>
    <x v="66"/>
    <x v="3"/>
    <n v="18063848"/>
    <x v="535"/>
    <x v="535"/>
  </r>
  <r>
    <x v="67"/>
    <x v="3"/>
    <n v="18070711"/>
    <x v="536"/>
    <x v="536"/>
  </r>
  <r>
    <x v="67"/>
    <x v="3"/>
    <n v="18101610"/>
    <x v="537"/>
    <x v="537"/>
  </r>
  <r>
    <x v="67"/>
    <x v="3"/>
    <n v="18112746"/>
    <x v="538"/>
    <x v="538"/>
  </r>
  <r>
    <x v="67"/>
    <x v="3"/>
    <n v="18156890"/>
    <x v="539"/>
    <x v="539"/>
  </r>
  <r>
    <x v="67"/>
    <x v="3"/>
    <n v="18171055"/>
    <x v="540"/>
    <x v="540"/>
  </r>
  <r>
    <x v="67"/>
    <x v="3"/>
    <n v="18174599"/>
    <x v="541"/>
    <x v="541"/>
  </r>
  <r>
    <x v="67"/>
    <x v="3"/>
    <n v="18219044"/>
    <x v="542"/>
    <x v="542"/>
  </r>
  <r>
    <x v="67"/>
    <x v="3"/>
    <n v="18233223"/>
    <x v="543"/>
    <x v="543"/>
  </r>
  <r>
    <x v="68"/>
    <x v="3"/>
    <n v="18236864"/>
    <x v="544"/>
    <x v="544"/>
  </r>
  <r>
    <x v="68"/>
    <x v="3"/>
    <n v="18284331"/>
    <x v="545"/>
    <x v="545"/>
  </r>
  <r>
    <x v="68"/>
    <x v="3"/>
    <n v="18287773"/>
    <x v="546"/>
    <x v="546"/>
  </r>
  <r>
    <x v="68"/>
    <x v="3"/>
    <n v="18297555"/>
    <x v="547"/>
    <x v="547"/>
  </r>
  <r>
    <x v="68"/>
    <x v="3"/>
    <n v="18325709"/>
    <x v="548"/>
    <x v="548"/>
  </r>
  <r>
    <x v="68"/>
    <x v="3"/>
    <n v="18345934"/>
    <x v="549"/>
    <x v="549"/>
  </r>
  <r>
    <x v="68"/>
    <x v="3"/>
    <n v="18361126"/>
    <x v="550"/>
    <x v="550"/>
  </r>
  <r>
    <x v="68"/>
    <x v="3"/>
    <n v="18377510"/>
    <x v="551"/>
    <x v="551"/>
  </r>
  <r>
    <x v="69"/>
    <x v="3"/>
    <n v="18408943"/>
    <x v="552"/>
    <x v="552"/>
  </r>
  <r>
    <x v="69"/>
    <x v="3"/>
    <n v="18430526"/>
    <x v="553"/>
    <x v="553"/>
  </r>
  <r>
    <x v="69"/>
    <x v="3"/>
    <n v="18465516"/>
    <x v="554"/>
    <x v="554"/>
  </r>
  <r>
    <x v="69"/>
    <x v="3"/>
    <n v="18469195"/>
    <x v="555"/>
    <x v="555"/>
  </r>
  <r>
    <x v="69"/>
    <x v="3"/>
    <n v="18508578"/>
    <x v="556"/>
    <x v="556"/>
  </r>
  <r>
    <x v="69"/>
    <x v="3"/>
    <n v="18520621"/>
    <x v="557"/>
    <x v="557"/>
  </r>
  <r>
    <x v="69"/>
    <x v="3"/>
    <n v="18546338"/>
    <x v="558"/>
    <x v="558"/>
  </r>
  <r>
    <x v="69"/>
    <x v="3"/>
    <n v="18574919"/>
    <x v="559"/>
    <x v="559"/>
  </r>
  <r>
    <x v="70"/>
    <x v="3"/>
    <n v="18599047"/>
    <x v="560"/>
    <x v="560"/>
  </r>
  <r>
    <x v="70"/>
    <x v="3"/>
    <n v="18610852"/>
    <x v="561"/>
    <x v="561"/>
  </r>
  <r>
    <x v="70"/>
    <x v="3"/>
    <n v="18636599"/>
    <x v="562"/>
    <x v="562"/>
  </r>
  <r>
    <x v="70"/>
    <x v="3"/>
    <n v="18648391"/>
    <x v="563"/>
    <x v="563"/>
  </r>
  <r>
    <x v="70"/>
    <x v="3"/>
    <n v="18651149"/>
    <x v="564"/>
    <x v="564"/>
  </r>
  <r>
    <x v="70"/>
    <x v="3"/>
    <n v="18673195"/>
    <x v="565"/>
    <x v="565"/>
  </r>
  <r>
    <x v="70"/>
    <x v="3"/>
    <n v="18679529"/>
    <x v="566"/>
    <x v="566"/>
  </r>
  <r>
    <x v="70"/>
    <x v="3"/>
    <n v="18682026"/>
    <x v="567"/>
    <x v="567"/>
  </r>
  <r>
    <x v="71"/>
    <x v="3"/>
    <n v="18703334"/>
    <x v="568"/>
    <x v="568"/>
  </r>
  <r>
    <x v="71"/>
    <x v="3"/>
    <n v="18752273"/>
    <x v="569"/>
    <x v="569"/>
  </r>
  <r>
    <x v="71"/>
    <x v="3"/>
    <n v="18779933"/>
    <x v="570"/>
    <x v="570"/>
  </r>
  <r>
    <x v="71"/>
    <x v="3"/>
    <n v="18823924"/>
    <x v="571"/>
    <x v="571"/>
  </r>
  <r>
    <x v="71"/>
    <x v="3"/>
    <n v="18832229"/>
    <x v="572"/>
    <x v="572"/>
  </r>
  <r>
    <x v="71"/>
    <x v="3"/>
    <n v="18876434"/>
    <x v="573"/>
    <x v="573"/>
  </r>
  <r>
    <x v="71"/>
    <x v="3"/>
    <n v="18908644"/>
    <x v="574"/>
    <x v="574"/>
  </r>
  <r>
    <x v="71"/>
    <x v="3"/>
    <n v="18934245"/>
    <x v="575"/>
    <x v="575"/>
  </r>
  <r>
    <x v="72"/>
    <x v="3"/>
    <n v="18953652"/>
    <x v="576"/>
    <x v="576"/>
  </r>
  <r>
    <x v="72"/>
    <x v="3"/>
    <n v="18963931"/>
    <x v="577"/>
    <x v="577"/>
  </r>
  <r>
    <x v="72"/>
    <x v="3"/>
    <n v="18976154"/>
    <x v="578"/>
    <x v="578"/>
  </r>
  <r>
    <x v="72"/>
    <x v="3"/>
    <n v="19003979"/>
    <x v="579"/>
    <x v="579"/>
  </r>
  <r>
    <x v="72"/>
    <x v="3"/>
    <n v="19047695"/>
    <x v="580"/>
    <x v="580"/>
  </r>
  <r>
    <x v="72"/>
    <x v="3"/>
    <n v="19079459"/>
    <x v="581"/>
    <x v="581"/>
  </r>
  <r>
    <x v="72"/>
    <x v="3"/>
    <n v="19113395"/>
    <x v="582"/>
    <x v="582"/>
  </r>
  <r>
    <x v="72"/>
    <x v="3"/>
    <n v="19133142"/>
    <x v="583"/>
    <x v="583"/>
  </r>
  <r>
    <x v="73"/>
    <x v="3"/>
    <n v="19169080"/>
    <x v="584"/>
    <x v="584"/>
  </r>
  <r>
    <x v="73"/>
    <x v="3"/>
    <n v="19205587"/>
    <x v="585"/>
    <x v="585"/>
  </r>
  <r>
    <x v="73"/>
    <x v="3"/>
    <n v="19245673"/>
    <x v="586"/>
    <x v="586"/>
  </r>
  <r>
    <x v="73"/>
    <x v="3"/>
    <n v="19256361"/>
    <x v="587"/>
    <x v="587"/>
  </r>
  <r>
    <x v="73"/>
    <x v="3"/>
    <n v="19284752"/>
    <x v="588"/>
    <x v="588"/>
  </r>
  <r>
    <x v="73"/>
    <x v="3"/>
    <n v="19303096"/>
    <x v="589"/>
    <x v="589"/>
  </r>
  <r>
    <x v="73"/>
    <x v="3"/>
    <n v="19329368"/>
    <x v="590"/>
    <x v="590"/>
  </r>
  <r>
    <x v="73"/>
    <x v="3"/>
    <n v="19362638"/>
    <x v="591"/>
    <x v="591"/>
  </r>
  <r>
    <x v="74"/>
    <x v="3"/>
    <n v="19410532"/>
    <x v="592"/>
    <x v="592"/>
  </r>
  <r>
    <x v="74"/>
    <x v="3"/>
    <n v="19440984"/>
    <x v="593"/>
    <x v="593"/>
  </r>
  <r>
    <x v="74"/>
    <x v="3"/>
    <n v="19456884"/>
    <x v="594"/>
    <x v="594"/>
  </r>
  <r>
    <x v="74"/>
    <x v="3"/>
    <n v="19483622"/>
    <x v="595"/>
    <x v="595"/>
  </r>
  <r>
    <x v="74"/>
    <x v="3"/>
    <n v="19509944"/>
    <x v="596"/>
    <x v="596"/>
  </r>
  <r>
    <x v="74"/>
    <x v="3"/>
    <n v="19558303"/>
    <x v="597"/>
    <x v="597"/>
  </r>
  <r>
    <x v="74"/>
    <x v="3"/>
    <n v="19575619"/>
    <x v="598"/>
    <x v="598"/>
  </r>
  <r>
    <x v="74"/>
    <x v="3"/>
    <n v="19590256"/>
    <x v="599"/>
    <x v="599"/>
  </r>
  <r>
    <x v="75"/>
    <x v="4"/>
    <n v="16467344"/>
    <x v="600"/>
    <x v="600"/>
  </r>
  <r>
    <x v="75"/>
    <x v="4"/>
    <n v="16515805"/>
    <x v="601"/>
    <x v="601"/>
  </r>
  <r>
    <x v="75"/>
    <x v="4"/>
    <n v="16563321"/>
    <x v="602"/>
    <x v="602"/>
  </r>
  <r>
    <x v="75"/>
    <x v="4"/>
    <n v="16565866"/>
    <x v="603"/>
    <x v="603"/>
  </r>
  <r>
    <x v="75"/>
    <x v="4"/>
    <n v="16593876"/>
    <x v="604"/>
    <x v="604"/>
  </r>
  <r>
    <x v="75"/>
    <x v="4"/>
    <n v="16603849"/>
    <x v="605"/>
    <x v="605"/>
  </r>
  <r>
    <x v="75"/>
    <x v="4"/>
    <n v="16652913"/>
    <x v="606"/>
    <x v="606"/>
  </r>
  <r>
    <x v="75"/>
    <x v="4"/>
    <n v="16696673"/>
    <x v="607"/>
    <x v="607"/>
  </r>
  <r>
    <x v="76"/>
    <x v="4"/>
    <n v="16734398"/>
    <x v="608"/>
    <x v="608"/>
  </r>
  <r>
    <x v="76"/>
    <x v="4"/>
    <n v="16755217"/>
    <x v="609"/>
    <x v="609"/>
  </r>
  <r>
    <x v="76"/>
    <x v="4"/>
    <n v="16769809"/>
    <x v="610"/>
    <x v="610"/>
  </r>
  <r>
    <x v="76"/>
    <x v="4"/>
    <n v="16793132"/>
    <x v="611"/>
    <x v="611"/>
  </r>
  <r>
    <x v="76"/>
    <x v="4"/>
    <n v="16833211"/>
    <x v="612"/>
    <x v="612"/>
  </r>
  <r>
    <x v="76"/>
    <x v="4"/>
    <n v="16846597"/>
    <x v="613"/>
    <x v="613"/>
  </r>
  <r>
    <x v="76"/>
    <x v="4"/>
    <n v="16891642"/>
    <x v="614"/>
    <x v="614"/>
  </r>
  <r>
    <x v="76"/>
    <x v="4"/>
    <n v="16936869"/>
    <x v="615"/>
    <x v="615"/>
  </r>
  <r>
    <x v="77"/>
    <x v="4"/>
    <n v="16945697"/>
    <x v="616"/>
    <x v="616"/>
  </r>
  <r>
    <x v="77"/>
    <x v="4"/>
    <n v="16965336"/>
    <x v="617"/>
    <x v="617"/>
  </r>
  <r>
    <x v="77"/>
    <x v="4"/>
    <n v="17001847"/>
    <x v="618"/>
    <x v="618"/>
  </r>
  <r>
    <x v="77"/>
    <x v="4"/>
    <n v="17013484"/>
    <x v="619"/>
    <x v="619"/>
  </r>
  <r>
    <x v="77"/>
    <x v="4"/>
    <n v="17025508"/>
    <x v="620"/>
    <x v="620"/>
  </r>
  <r>
    <x v="77"/>
    <x v="4"/>
    <n v="17048347"/>
    <x v="621"/>
    <x v="621"/>
  </r>
  <r>
    <x v="77"/>
    <x v="4"/>
    <n v="17095448"/>
    <x v="622"/>
    <x v="622"/>
  </r>
  <r>
    <x v="77"/>
    <x v="4"/>
    <n v="17110816"/>
    <x v="623"/>
    <x v="623"/>
  </r>
  <r>
    <x v="78"/>
    <x v="4"/>
    <n v="17150378"/>
    <x v="624"/>
    <x v="624"/>
  </r>
  <r>
    <x v="78"/>
    <x v="4"/>
    <n v="17197169"/>
    <x v="625"/>
    <x v="625"/>
  </r>
  <r>
    <x v="78"/>
    <x v="4"/>
    <n v="17238879"/>
    <x v="626"/>
    <x v="626"/>
  </r>
  <r>
    <x v="78"/>
    <x v="4"/>
    <n v="17275897"/>
    <x v="627"/>
    <x v="627"/>
  </r>
  <r>
    <x v="78"/>
    <x v="4"/>
    <n v="17282942"/>
    <x v="628"/>
    <x v="628"/>
  </r>
  <r>
    <x v="78"/>
    <x v="4"/>
    <n v="17330020"/>
    <x v="629"/>
    <x v="629"/>
  </r>
  <r>
    <x v="78"/>
    <x v="4"/>
    <n v="17337945"/>
    <x v="630"/>
    <x v="630"/>
  </r>
  <r>
    <x v="78"/>
    <x v="4"/>
    <n v="17386916"/>
    <x v="631"/>
    <x v="631"/>
  </r>
  <r>
    <x v="79"/>
    <x v="4"/>
    <n v="17434140"/>
    <x v="632"/>
    <x v="632"/>
  </r>
  <r>
    <x v="79"/>
    <x v="4"/>
    <n v="17479823"/>
    <x v="633"/>
    <x v="633"/>
  </r>
  <r>
    <x v="79"/>
    <x v="4"/>
    <n v="17497771"/>
    <x v="634"/>
    <x v="634"/>
  </r>
  <r>
    <x v="79"/>
    <x v="4"/>
    <n v="17501937"/>
    <x v="635"/>
    <x v="635"/>
  </r>
  <r>
    <x v="79"/>
    <x v="4"/>
    <n v="17512771"/>
    <x v="636"/>
    <x v="636"/>
  </r>
  <r>
    <x v="79"/>
    <x v="4"/>
    <n v="17536128"/>
    <x v="637"/>
    <x v="637"/>
  </r>
  <r>
    <x v="79"/>
    <x v="4"/>
    <n v="17559537"/>
    <x v="638"/>
    <x v="638"/>
  </r>
  <r>
    <x v="79"/>
    <x v="4"/>
    <n v="17574057"/>
    <x v="639"/>
    <x v="639"/>
  </r>
  <r>
    <x v="80"/>
    <x v="4"/>
    <n v="17612710"/>
    <x v="640"/>
    <x v="640"/>
  </r>
  <r>
    <x v="80"/>
    <x v="4"/>
    <n v="17641508"/>
    <x v="641"/>
    <x v="641"/>
  </r>
  <r>
    <x v="80"/>
    <x v="4"/>
    <n v="17652103"/>
    <x v="642"/>
    <x v="642"/>
  </r>
  <r>
    <x v="80"/>
    <x v="4"/>
    <n v="17672182"/>
    <x v="643"/>
    <x v="643"/>
  </r>
  <r>
    <x v="80"/>
    <x v="4"/>
    <n v="17687213"/>
    <x v="644"/>
    <x v="644"/>
  </r>
  <r>
    <x v="80"/>
    <x v="4"/>
    <n v="17724352"/>
    <x v="645"/>
    <x v="645"/>
  </r>
  <r>
    <x v="80"/>
    <x v="4"/>
    <n v="17746390"/>
    <x v="646"/>
    <x v="646"/>
  </r>
  <r>
    <x v="80"/>
    <x v="4"/>
    <n v="17748098"/>
    <x v="647"/>
    <x v="647"/>
  </r>
  <r>
    <x v="81"/>
    <x v="4"/>
    <n v="17752191"/>
    <x v="648"/>
    <x v="648"/>
  </r>
  <r>
    <x v="81"/>
    <x v="4"/>
    <n v="17792674"/>
    <x v="649"/>
    <x v="649"/>
  </r>
  <r>
    <x v="81"/>
    <x v="4"/>
    <n v="17839532"/>
    <x v="650"/>
    <x v="650"/>
  </r>
  <r>
    <x v="81"/>
    <x v="4"/>
    <n v="17889318"/>
    <x v="651"/>
    <x v="651"/>
  </r>
  <r>
    <x v="81"/>
    <x v="4"/>
    <n v="17929002"/>
    <x v="652"/>
    <x v="652"/>
  </r>
  <r>
    <x v="81"/>
    <x v="4"/>
    <n v="17974002"/>
    <x v="653"/>
    <x v="653"/>
  </r>
  <r>
    <x v="81"/>
    <x v="4"/>
    <n v="18015063"/>
    <x v="654"/>
    <x v="654"/>
  </r>
  <r>
    <x v="81"/>
    <x v="4"/>
    <n v="18050809"/>
    <x v="655"/>
    <x v="655"/>
  </r>
  <r>
    <x v="82"/>
    <x v="4"/>
    <n v="18083426"/>
    <x v="656"/>
    <x v="656"/>
  </r>
  <r>
    <x v="82"/>
    <x v="4"/>
    <n v="18085204"/>
    <x v="657"/>
    <x v="657"/>
  </r>
  <r>
    <x v="82"/>
    <x v="4"/>
    <n v="18114226"/>
    <x v="658"/>
    <x v="658"/>
  </r>
  <r>
    <x v="82"/>
    <x v="4"/>
    <n v="18154382"/>
    <x v="659"/>
    <x v="659"/>
  </r>
  <r>
    <x v="82"/>
    <x v="4"/>
    <n v="18172660"/>
    <x v="660"/>
    <x v="660"/>
  </r>
  <r>
    <x v="82"/>
    <x v="4"/>
    <n v="18183510"/>
    <x v="661"/>
    <x v="661"/>
  </r>
  <r>
    <x v="82"/>
    <x v="4"/>
    <n v="18195887"/>
    <x v="662"/>
    <x v="662"/>
  </r>
  <r>
    <x v="82"/>
    <x v="4"/>
    <n v="18223099"/>
    <x v="663"/>
    <x v="663"/>
  </r>
  <r>
    <x v="83"/>
    <x v="4"/>
    <n v="18271940"/>
    <x v="664"/>
    <x v="664"/>
  </r>
  <r>
    <x v="83"/>
    <x v="4"/>
    <n v="18299430"/>
    <x v="665"/>
    <x v="665"/>
  </r>
  <r>
    <x v="83"/>
    <x v="4"/>
    <n v="18305188"/>
    <x v="666"/>
    <x v="666"/>
  </r>
  <r>
    <x v="83"/>
    <x v="4"/>
    <n v="18346326"/>
    <x v="667"/>
    <x v="667"/>
  </r>
  <r>
    <x v="83"/>
    <x v="4"/>
    <n v="18348550"/>
    <x v="668"/>
    <x v="668"/>
  </r>
  <r>
    <x v="83"/>
    <x v="4"/>
    <n v="18368092"/>
    <x v="669"/>
    <x v="669"/>
  </r>
  <r>
    <x v="83"/>
    <x v="4"/>
    <n v="18410496"/>
    <x v="670"/>
    <x v="670"/>
  </r>
  <r>
    <x v="83"/>
    <x v="4"/>
    <n v="18456349"/>
    <x v="671"/>
    <x v="671"/>
  </r>
  <r>
    <x v="84"/>
    <x v="4"/>
    <n v="18478668"/>
    <x v="672"/>
    <x v="672"/>
  </r>
  <r>
    <x v="84"/>
    <x v="4"/>
    <n v="18525766"/>
    <x v="673"/>
    <x v="673"/>
  </r>
  <r>
    <x v="84"/>
    <x v="4"/>
    <n v="18550362"/>
    <x v="674"/>
    <x v="674"/>
  </r>
  <r>
    <x v="84"/>
    <x v="4"/>
    <n v="18584775"/>
    <x v="675"/>
    <x v="675"/>
  </r>
  <r>
    <x v="84"/>
    <x v="4"/>
    <n v="18609506"/>
    <x v="676"/>
    <x v="676"/>
  </r>
  <r>
    <x v="84"/>
    <x v="4"/>
    <n v="18646550"/>
    <x v="677"/>
    <x v="677"/>
  </r>
  <r>
    <x v="84"/>
    <x v="4"/>
    <n v="18659569"/>
    <x v="678"/>
    <x v="678"/>
  </r>
  <r>
    <x v="84"/>
    <x v="4"/>
    <n v="18705367"/>
    <x v="679"/>
    <x v="679"/>
  </r>
  <r>
    <x v="85"/>
    <x v="4"/>
    <n v="18731323"/>
    <x v="680"/>
    <x v="680"/>
  </r>
  <r>
    <x v="85"/>
    <x v="4"/>
    <n v="18776972"/>
    <x v="681"/>
    <x v="681"/>
  </r>
  <r>
    <x v="85"/>
    <x v="4"/>
    <n v="18825705"/>
    <x v="682"/>
    <x v="682"/>
  </r>
  <r>
    <x v="85"/>
    <x v="4"/>
    <n v="18873905"/>
    <x v="683"/>
    <x v="683"/>
  </r>
  <r>
    <x v="85"/>
    <x v="4"/>
    <n v="18893470"/>
    <x v="684"/>
    <x v="684"/>
  </r>
  <r>
    <x v="85"/>
    <x v="4"/>
    <n v="18908336"/>
    <x v="685"/>
    <x v="685"/>
  </r>
  <r>
    <x v="85"/>
    <x v="4"/>
    <n v="18926595"/>
    <x v="686"/>
    <x v="686"/>
  </r>
  <r>
    <x v="85"/>
    <x v="4"/>
    <n v="18928511"/>
    <x v="687"/>
    <x v="687"/>
  </r>
  <r>
    <x v="86"/>
    <x v="4"/>
    <n v="18946163"/>
    <x v="688"/>
    <x v="688"/>
  </r>
  <r>
    <x v="86"/>
    <x v="4"/>
    <n v="18976836"/>
    <x v="689"/>
    <x v="689"/>
  </r>
  <r>
    <x v="86"/>
    <x v="4"/>
    <n v="18995069"/>
    <x v="690"/>
    <x v="690"/>
  </r>
  <r>
    <x v="86"/>
    <x v="4"/>
    <n v="19022340"/>
    <x v="691"/>
    <x v="691"/>
  </r>
  <r>
    <x v="86"/>
    <x v="4"/>
    <n v="19043753"/>
    <x v="692"/>
    <x v="692"/>
  </r>
  <r>
    <x v="86"/>
    <x v="4"/>
    <n v="19048378"/>
    <x v="693"/>
    <x v="693"/>
  </r>
  <r>
    <x v="86"/>
    <x v="4"/>
    <n v="19098037"/>
    <x v="694"/>
    <x v="694"/>
  </r>
  <r>
    <x v="86"/>
    <x v="4"/>
    <n v="19141315"/>
    <x v="695"/>
    <x v="695"/>
  </r>
  <r>
    <x v="87"/>
    <x v="4"/>
    <n v="19159639"/>
    <x v="696"/>
    <x v="696"/>
  </r>
  <r>
    <x v="87"/>
    <x v="4"/>
    <n v="19205866"/>
    <x v="697"/>
    <x v="697"/>
  </r>
  <r>
    <x v="87"/>
    <x v="4"/>
    <n v="19222904"/>
    <x v="698"/>
    <x v="698"/>
  </r>
  <r>
    <x v="87"/>
    <x v="4"/>
    <n v="19229525"/>
    <x v="699"/>
    <x v="699"/>
  </r>
  <r>
    <x v="87"/>
    <x v="4"/>
    <n v="19253089"/>
    <x v="700"/>
    <x v="700"/>
  </r>
  <r>
    <x v="87"/>
    <x v="4"/>
    <n v="19302891"/>
    <x v="701"/>
    <x v="701"/>
  </r>
  <r>
    <x v="87"/>
    <x v="4"/>
    <n v="19310156"/>
    <x v="702"/>
    <x v="702"/>
  </r>
  <r>
    <x v="87"/>
    <x v="4"/>
    <n v="19356246"/>
    <x v="703"/>
    <x v="703"/>
  </r>
  <r>
    <x v="88"/>
    <x v="4"/>
    <n v="19389492"/>
    <x v="704"/>
    <x v="704"/>
  </r>
  <r>
    <x v="88"/>
    <x v="4"/>
    <n v="19401171"/>
    <x v="705"/>
    <x v="705"/>
  </r>
  <r>
    <x v="88"/>
    <x v="4"/>
    <n v="19434022"/>
    <x v="706"/>
    <x v="706"/>
  </r>
  <r>
    <x v="88"/>
    <x v="4"/>
    <n v="19458915"/>
    <x v="707"/>
    <x v="707"/>
  </r>
  <r>
    <x v="88"/>
    <x v="4"/>
    <n v="19465131"/>
    <x v="708"/>
    <x v="708"/>
  </r>
  <r>
    <x v="88"/>
    <x v="4"/>
    <n v="19490863"/>
    <x v="709"/>
    <x v="709"/>
  </r>
  <r>
    <x v="88"/>
    <x v="4"/>
    <n v="19508684"/>
    <x v="710"/>
    <x v="710"/>
  </r>
  <r>
    <x v="88"/>
    <x v="4"/>
    <n v="19535946"/>
    <x v="711"/>
    <x v="711"/>
  </r>
  <r>
    <x v="89"/>
    <x v="4"/>
    <n v="19584206"/>
    <x v="712"/>
    <x v="712"/>
  </r>
  <r>
    <x v="89"/>
    <x v="4"/>
    <n v="19613251"/>
    <x v="713"/>
    <x v="713"/>
  </r>
  <r>
    <x v="89"/>
    <x v="4"/>
    <n v="19619097"/>
    <x v="714"/>
    <x v="714"/>
  </r>
  <r>
    <x v="89"/>
    <x v="4"/>
    <n v="19660669"/>
    <x v="715"/>
    <x v="715"/>
  </r>
  <r>
    <x v="89"/>
    <x v="4"/>
    <n v="19692118"/>
    <x v="716"/>
    <x v="716"/>
  </r>
  <r>
    <x v="89"/>
    <x v="4"/>
    <n v="19735163"/>
    <x v="717"/>
    <x v="717"/>
  </r>
  <r>
    <x v="89"/>
    <x v="4"/>
    <n v="19768699"/>
    <x v="718"/>
    <x v="718"/>
  </r>
  <r>
    <x v="89"/>
    <x v="4"/>
    <n v="19816003"/>
    <x v="719"/>
    <x v="719"/>
  </r>
  <r>
    <x v="90"/>
    <x v="4"/>
    <n v="19818698"/>
    <x v="720"/>
    <x v="720"/>
  </r>
  <r>
    <x v="90"/>
    <x v="4"/>
    <n v="19854181"/>
    <x v="721"/>
    <x v="721"/>
  </r>
  <r>
    <x v="90"/>
    <x v="4"/>
    <n v="19901305"/>
    <x v="722"/>
    <x v="722"/>
  </r>
  <r>
    <x v="90"/>
    <x v="4"/>
    <n v="19913405"/>
    <x v="723"/>
    <x v="723"/>
  </r>
  <r>
    <x v="90"/>
    <x v="4"/>
    <n v="19937193"/>
    <x v="724"/>
    <x v="724"/>
  </r>
  <r>
    <x v="90"/>
    <x v="4"/>
    <n v="19973312"/>
    <x v="725"/>
    <x v="725"/>
  </r>
  <r>
    <x v="90"/>
    <x v="4"/>
    <n v="19989596"/>
    <x v="726"/>
    <x v="726"/>
  </r>
  <r>
    <x v="90"/>
    <x v="4"/>
    <n v="20000356"/>
    <x v="727"/>
    <x v="727"/>
  </r>
  <r>
    <x v="91"/>
    <x v="4"/>
    <n v="20017183"/>
    <x v="728"/>
    <x v="728"/>
  </r>
  <r>
    <x v="91"/>
    <x v="4"/>
    <n v="20029302"/>
    <x v="729"/>
    <x v="729"/>
  </r>
  <r>
    <x v="91"/>
    <x v="4"/>
    <n v="20075325"/>
    <x v="730"/>
    <x v="730"/>
  </r>
  <r>
    <x v="91"/>
    <x v="4"/>
    <n v="20087683"/>
    <x v="731"/>
    <x v="731"/>
  </r>
  <r>
    <x v="91"/>
    <x v="4"/>
    <n v="20133904"/>
    <x v="732"/>
    <x v="732"/>
  </r>
  <r>
    <x v="91"/>
    <x v="4"/>
    <n v="20174654"/>
    <x v="733"/>
    <x v="733"/>
  </r>
  <r>
    <x v="91"/>
    <x v="4"/>
    <n v="20187392"/>
    <x v="734"/>
    <x v="734"/>
  </r>
  <r>
    <x v="91"/>
    <x v="4"/>
    <n v="20205323"/>
    <x v="735"/>
    <x v="735"/>
  </r>
  <r>
    <x v="92"/>
    <x v="4"/>
    <n v="20251740"/>
    <x v="736"/>
    <x v="736"/>
  </r>
  <r>
    <x v="92"/>
    <x v="4"/>
    <n v="20275012"/>
    <x v="737"/>
    <x v="737"/>
  </r>
  <r>
    <x v="92"/>
    <x v="4"/>
    <n v="20322031"/>
    <x v="738"/>
    <x v="738"/>
  </r>
  <r>
    <x v="92"/>
    <x v="4"/>
    <n v="20337341"/>
    <x v="739"/>
    <x v="739"/>
  </r>
  <r>
    <x v="92"/>
    <x v="4"/>
    <n v="20386395"/>
    <x v="740"/>
    <x v="740"/>
  </r>
  <r>
    <x v="92"/>
    <x v="4"/>
    <n v="20409239"/>
    <x v="741"/>
    <x v="741"/>
  </r>
  <r>
    <x v="92"/>
    <x v="4"/>
    <n v="20456891"/>
    <x v="742"/>
    <x v="742"/>
  </r>
  <r>
    <x v="92"/>
    <x v="4"/>
    <n v="20482747"/>
    <x v="743"/>
    <x v="743"/>
  </r>
  <r>
    <x v="93"/>
    <x v="4"/>
    <n v="20494978"/>
    <x v="744"/>
    <x v="744"/>
  </r>
  <r>
    <x v="93"/>
    <x v="4"/>
    <n v="20520304"/>
    <x v="745"/>
    <x v="745"/>
  </r>
  <r>
    <x v="93"/>
    <x v="4"/>
    <n v="20553277"/>
    <x v="746"/>
    <x v="746"/>
  </r>
  <r>
    <x v="93"/>
    <x v="4"/>
    <n v="20603010"/>
    <x v="747"/>
    <x v="747"/>
  </r>
  <r>
    <x v="93"/>
    <x v="4"/>
    <n v="20648778"/>
    <x v="748"/>
    <x v="748"/>
  </r>
  <r>
    <x v="93"/>
    <x v="4"/>
    <n v="20675333"/>
    <x v="749"/>
    <x v="749"/>
  </r>
  <r>
    <x v="93"/>
    <x v="5"/>
    <n v="7740877"/>
    <x v="750"/>
    <x v="750"/>
  </r>
  <r>
    <x v="93"/>
    <x v="5"/>
    <n v="7761171"/>
    <x v="751"/>
    <x v="751"/>
  </r>
  <r>
    <x v="94"/>
    <x v="5"/>
    <n v="7804256"/>
    <x v="752"/>
    <x v="752"/>
  </r>
  <r>
    <x v="94"/>
    <x v="5"/>
    <n v="7836306"/>
    <x v="753"/>
    <x v="753"/>
  </r>
  <r>
    <x v="94"/>
    <x v="5"/>
    <n v="7857634"/>
    <x v="754"/>
    <x v="754"/>
  </r>
  <r>
    <x v="94"/>
    <x v="5"/>
    <n v="7883377"/>
    <x v="755"/>
    <x v="755"/>
  </r>
  <r>
    <x v="94"/>
    <x v="5"/>
    <n v="7924953"/>
    <x v="756"/>
    <x v="756"/>
  </r>
  <r>
    <x v="94"/>
    <x v="5"/>
    <n v="7930500"/>
    <x v="757"/>
    <x v="757"/>
  </r>
  <r>
    <x v="94"/>
    <x v="5"/>
    <n v="7974275"/>
    <x v="758"/>
    <x v="758"/>
  </r>
  <r>
    <x v="94"/>
    <x v="5"/>
    <n v="7988108"/>
    <x v="759"/>
    <x v="759"/>
  </r>
  <r>
    <x v="95"/>
    <x v="5"/>
    <n v="8021323"/>
    <x v="760"/>
    <x v="760"/>
  </r>
  <r>
    <x v="95"/>
    <x v="5"/>
    <n v="8059188"/>
    <x v="761"/>
    <x v="761"/>
  </r>
  <r>
    <x v="95"/>
    <x v="5"/>
    <n v="8081062"/>
    <x v="762"/>
    <x v="762"/>
  </r>
  <r>
    <x v="95"/>
    <x v="5"/>
    <n v="8098039"/>
    <x v="763"/>
    <x v="763"/>
  </r>
  <r>
    <x v="95"/>
    <x v="5"/>
    <n v="8140832"/>
    <x v="764"/>
    <x v="764"/>
  </r>
  <r>
    <x v="95"/>
    <x v="5"/>
    <n v="8174835"/>
    <x v="765"/>
    <x v="765"/>
  </r>
  <r>
    <x v="95"/>
    <x v="5"/>
    <n v="8209938"/>
    <x v="766"/>
    <x v="766"/>
  </r>
  <r>
    <x v="95"/>
    <x v="5"/>
    <n v="8214851"/>
    <x v="767"/>
    <x v="767"/>
  </r>
  <r>
    <x v="96"/>
    <x v="5"/>
    <n v="8218857"/>
    <x v="768"/>
    <x v="768"/>
  </r>
  <r>
    <x v="96"/>
    <x v="5"/>
    <n v="8241134"/>
    <x v="769"/>
    <x v="769"/>
  </r>
  <r>
    <x v="96"/>
    <x v="5"/>
    <n v="8288131"/>
    <x v="770"/>
    <x v="770"/>
  </r>
  <r>
    <x v="96"/>
    <x v="5"/>
    <n v="8317698"/>
    <x v="771"/>
    <x v="771"/>
  </r>
  <r>
    <x v="96"/>
    <x v="5"/>
    <n v="8362694"/>
    <x v="772"/>
    <x v="772"/>
  </r>
  <r>
    <x v="96"/>
    <x v="5"/>
    <n v="8383656"/>
    <x v="773"/>
    <x v="773"/>
  </r>
  <r>
    <x v="96"/>
    <x v="5"/>
    <n v="8406576"/>
    <x v="774"/>
    <x v="774"/>
  </r>
  <r>
    <x v="96"/>
    <x v="5"/>
    <n v="8441627"/>
    <x v="775"/>
    <x v="775"/>
  </r>
  <r>
    <x v="97"/>
    <x v="5"/>
    <n v="8473849"/>
    <x v="776"/>
    <x v="776"/>
  </r>
  <r>
    <x v="97"/>
    <x v="5"/>
    <n v="8513528"/>
    <x v="777"/>
    <x v="777"/>
  </r>
  <r>
    <x v="97"/>
    <x v="5"/>
    <n v="8535726"/>
    <x v="778"/>
    <x v="778"/>
  </r>
  <r>
    <x v="97"/>
    <x v="5"/>
    <n v="8549734"/>
    <x v="779"/>
    <x v="779"/>
  </r>
  <r>
    <x v="97"/>
    <x v="5"/>
    <n v="8581389"/>
    <x v="780"/>
    <x v="780"/>
  </r>
  <r>
    <x v="97"/>
    <x v="5"/>
    <n v="8614079"/>
    <x v="781"/>
    <x v="781"/>
  </r>
  <r>
    <x v="97"/>
    <x v="5"/>
    <n v="8631520"/>
    <x v="782"/>
    <x v="782"/>
  </r>
  <r>
    <x v="97"/>
    <x v="5"/>
    <n v="8654693"/>
    <x v="783"/>
    <x v="783"/>
  </r>
  <r>
    <x v="98"/>
    <x v="5"/>
    <n v="8698593"/>
    <x v="784"/>
    <x v="784"/>
  </r>
  <r>
    <x v="98"/>
    <x v="5"/>
    <n v="8704710"/>
    <x v="785"/>
    <x v="785"/>
  </r>
  <r>
    <x v="98"/>
    <x v="5"/>
    <n v="8754294"/>
    <x v="786"/>
    <x v="786"/>
  </r>
  <r>
    <x v="98"/>
    <x v="5"/>
    <n v="8776396"/>
    <x v="787"/>
    <x v="787"/>
  </r>
  <r>
    <x v="98"/>
    <x v="5"/>
    <n v="8791900"/>
    <x v="788"/>
    <x v="788"/>
  </r>
  <r>
    <x v="98"/>
    <x v="5"/>
    <n v="8826620"/>
    <x v="789"/>
    <x v="789"/>
  </r>
  <r>
    <x v="98"/>
    <x v="5"/>
    <n v="8835177"/>
    <x v="790"/>
    <x v="790"/>
  </r>
  <r>
    <x v="98"/>
    <x v="5"/>
    <n v="8872771"/>
    <x v="791"/>
    <x v="791"/>
  </r>
  <r>
    <x v="99"/>
    <x v="5"/>
    <n v="8885331"/>
    <x v="792"/>
    <x v="792"/>
  </r>
  <r>
    <x v="99"/>
    <x v="5"/>
    <n v="8914813"/>
    <x v="793"/>
    <x v="793"/>
  </r>
  <r>
    <x v="99"/>
    <x v="5"/>
    <n v="8951284"/>
    <x v="794"/>
    <x v="794"/>
  </r>
  <r>
    <x v="99"/>
    <x v="5"/>
    <n v="8994317"/>
    <x v="795"/>
    <x v="795"/>
  </r>
  <r>
    <x v="99"/>
    <x v="5"/>
    <n v="9043740"/>
    <x v="796"/>
    <x v="796"/>
  </r>
  <r>
    <x v="99"/>
    <x v="5"/>
    <n v="9065814"/>
    <x v="797"/>
    <x v="797"/>
  </r>
  <r>
    <x v="99"/>
    <x v="5"/>
    <n v="9101503"/>
    <x v="798"/>
    <x v="798"/>
  </r>
  <r>
    <x v="99"/>
    <x v="5"/>
    <n v="9134943"/>
    <x v="799"/>
    <x v="799"/>
  </r>
  <r>
    <x v="100"/>
    <x v="5"/>
    <n v="9150297"/>
    <x v="800"/>
    <x v="800"/>
  </r>
  <r>
    <x v="100"/>
    <x v="5"/>
    <n v="9169871"/>
    <x v="801"/>
    <x v="801"/>
  </r>
  <r>
    <x v="100"/>
    <x v="5"/>
    <n v="9172254"/>
    <x v="802"/>
    <x v="802"/>
  </r>
  <r>
    <x v="100"/>
    <x v="5"/>
    <n v="9179246"/>
    <x v="803"/>
    <x v="803"/>
  </r>
  <r>
    <x v="100"/>
    <x v="5"/>
    <n v="9219671"/>
    <x v="804"/>
    <x v="804"/>
  </r>
  <r>
    <x v="100"/>
    <x v="5"/>
    <n v="9259981"/>
    <x v="805"/>
    <x v="805"/>
  </r>
  <r>
    <x v="100"/>
    <x v="5"/>
    <n v="9272731"/>
    <x v="806"/>
    <x v="806"/>
  </r>
  <r>
    <x v="100"/>
    <x v="5"/>
    <n v="9282033"/>
    <x v="807"/>
    <x v="807"/>
  </r>
  <r>
    <x v="101"/>
    <x v="5"/>
    <n v="9327038"/>
    <x v="808"/>
    <x v="808"/>
  </r>
  <r>
    <x v="101"/>
    <x v="5"/>
    <n v="9339332"/>
    <x v="809"/>
    <x v="809"/>
  </r>
  <r>
    <x v="101"/>
    <x v="5"/>
    <n v="9384679"/>
    <x v="810"/>
    <x v="810"/>
  </r>
  <r>
    <x v="101"/>
    <x v="5"/>
    <n v="9418253"/>
    <x v="811"/>
    <x v="811"/>
  </r>
  <r>
    <x v="101"/>
    <x v="5"/>
    <n v="9429743"/>
    <x v="812"/>
    <x v="812"/>
  </r>
  <r>
    <x v="101"/>
    <x v="5"/>
    <n v="9463194"/>
    <x v="813"/>
    <x v="813"/>
  </r>
  <r>
    <x v="101"/>
    <x v="5"/>
    <n v="9470984"/>
    <x v="814"/>
    <x v="814"/>
  </r>
  <r>
    <x v="101"/>
    <x v="5"/>
    <n v="9498911"/>
    <x v="815"/>
    <x v="815"/>
  </r>
  <r>
    <x v="102"/>
    <x v="5"/>
    <n v="9525146"/>
    <x v="816"/>
    <x v="816"/>
  </r>
  <r>
    <x v="102"/>
    <x v="5"/>
    <n v="9563088"/>
    <x v="817"/>
    <x v="817"/>
  </r>
  <r>
    <x v="102"/>
    <x v="5"/>
    <n v="9585991"/>
    <x v="818"/>
    <x v="818"/>
  </r>
  <r>
    <x v="102"/>
    <x v="5"/>
    <n v="9634225"/>
    <x v="819"/>
    <x v="819"/>
  </r>
  <r>
    <x v="102"/>
    <x v="5"/>
    <n v="9647897"/>
    <x v="820"/>
    <x v="820"/>
  </r>
  <r>
    <x v="102"/>
    <x v="5"/>
    <n v="9654161"/>
    <x v="821"/>
    <x v="821"/>
  </r>
  <r>
    <x v="102"/>
    <x v="5"/>
    <n v="9704005"/>
    <x v="822"/>
    <x v="822"/>
  </r>
  <r>
    <x v="102"/>
    <x v="5"/>
    <n v="9750183"/>
    <x v="823"/>
    <x v="823"/>
  </r>
  <r>
    <x v="103"/>
    <x v="5"/>
    <n v="9762835"/>
    <x v="824"/>
    <x v="824"/>
  </r>
  <r>
    <x v="103"/>
    <x v="5"/>
    <n v="9795942"/>
    <x v="825"/>
    <x v="825"/>
  </r>
  <r>
    <x v="103"/>
    <x v="5"/>
    <n v="9806267"/>
    <x v="826"/>
    <x v="826"/>
  </r>
  <r>
    <x v="103"/>
    <x v="5"/>
    <n v="9836554"/>
    <x v="827"/>
    <x v="827"/>
  </r>
  <r>
    <x v="103"/>
    <x v="5"/>
    <n v="9882458"/>
    <x v="828"/>
    <x v="828"/>
  </r>
  <r>
    <x v="103"/>
    <x v="5"/>
    <n v="9921307"/>
    <x v="829"/>
    <x v="829"/>
  </r>
  <r>
    <x v="103"/>
    <x v="5"/>
    <n v="9966338"/>
    <x v="830"/>
    <x v="830"/>
  </r>
  <r>
    <x v="103"/>
    <x v="5"/>
    <n v="10005783"/>
    <x v="831"/>
    <x v="831"/>
  </r>
  <r>
    <x v="104"/>
    <x v="5"/>
    <n v="10021847"/>
    <x v="832"/>
    <x v="832"/>
  </r>
  <r>
    <x v="104"/>
    <x v="5"/>
    <n v="10058866"/>
    <x v="833"/>
    <x v="833"/>
  </r>
  <r>
    <x v="104"/>
    <x v="5"/>
    <n v="10079314"/>
    <x v="834"/>
    <x v="834"/>
  </r>
  <r>
    <x v="104"/>
    <x v="5"/>
    <n v="10123883"/>
    <x v="835"/>
    <x v="835"/>
  </r>
  <r>
    <x v="104"/>
    <x v="5"/>
    <n v="10171763"/>
    <x v="836"/>
    <x v="836"/>
  </r>
  <r>
    <x v="104"/>
    <x v="5"/>
    <n v="10212198"/>
    <x v="837"/>
    <x v="837"/>
  </r>
  <r>
    <x v="104"/>
    <x v="5"/>
    <n v="10215007"/>
    <x v="838"/>
    <x v="838"/>
  </r>
  <r>
    <x v="104"/>
    <x v="5"/>
    <n v="10239746"/>
    <x v="839"/>
    <x v="839"/>
  </r>
  <r>
    <x v="105"/>
    <x v="5"/>
    <n v="10278802"/>
    <x v="840"/>
    <x v="840"/>
  </r>
  <r>
    <x v="105"/>
    <x v="5"/>
    <n v="10288470"/>
    <x v="841"/>
    <x v="841"/>
  </r>
  <r>
    <x v="105"/>
    <x v="5"/>
    <n v="10296235"/>
    <x v="842"/>
    <x v="842"/>
  </r>
  <r>
    <x v="105"/>
    <x v="5"/>
    <n v="10333152"/>
    <x v="843"/>
    <x v="843"/>
  </r>
  <r>
    <x v="105"/>
    <x v="5"/>
    <n v="10334287"/>
    <x v="844"/>
    <x v="844"/>
  </r>
  <r>
    <x v="105"/>
    <x v="5"/>
    <n v="10335350"/>
    <x v="845"/>
    <x v="845"/>
  </r>
  <r>
    <x v="105"/>
    <x v="5"/>
    <n v="10338827"/>
    <x v="846"/>
    <x v="846"/>
  </r>
  <r>
    <x v="105"/>
    <x v="5"/>
    <n v="10370750"/>
    <x v="847"/>
    <x v="847"/>
  </r>
  <r>
    <x v="106"/>
    <x v="5"/>
    <n v="10372291"/>
    <x v="848"/>
    <x v="848"/>
  </r>
  <r>
    <x v="106"/>
    <x v="5"/>
    <n v="10373407"/>
    <x v="849"/>
    <x v="849"/>
  </r>
  <r>
    <x v="106"/>
    <x v="5"/>
    <n v="10417683"/>
    <x v="850"/>
    <x v="850"/>
  </r>
  <r>
    <x v="106"/>
    <x v="5"/>
    <n v="10449170"/>
    <x v="851"/>
    <x v="851"/>
  </r>
  <r>
    <x v="106"/>
    <x v="5"/>
    <n v="10479176"/>
    <x v="852"/>
    <x v="852"/>
  </r>
  <r>
    <x v="106"/>
    <x v="5"/>
    <n v="10513772"/>
    <x v="853"/>
    <x v="853"/>
  </r>
  <r>
    <x v="106"/>
    <x v="5"/>
    <n v="10558930"/>
    <x v="854"/>
    <x v="854"/>
  </r>
  <r>
    <x v="106"/>
    <x v="5"/>
    <n v="10597891"/>
    <x v="855"/>
    <x v="855"/>
  </r>
  <r>
    <x v="107"/>
    <x v="5"/>
    <n v="10619911"/>
    <x v="856"/>
    <x v="856"/>
  </r>
  <r>
    <x v="107"/>
    <x v="5"/>
    <n v="10668826"/>
    <x v="857"/>
    <x v="857"/>
  </r>
  <r>
    <x v="107"/>
    <x v="5"/>
    <n v="10679991"/>
    <x v="858"/>
    <x v="858"/>
  </r>
  <r>
    <x v="107"/>
    <x v="5"/>
    <n v="10699413"/>
    <x v="859"/>
    <x v="859"/>
  </r>
  <r>
    <x v="107"/>
    <x v="5"/>
    <n v="10707842"/>
    <x v="860"/>
    <x v="860"/>
  </r>
  <r>
    <x v="107"/>
    <x v="5"/>
    <n v="10750960"/>
    <x v="861"/>
    <x v="861"/>
  </r>
  <r>
    <x v="107"/>
    <x v="5"/>
    <n v="10782939"/>
    <x v="862"/>
    <x v="862"/>
  </r>
  <r>
    <x v="107"/>
    <x v="5"/>
    <n v="10807352"/>
    <x v="863"/>
    <x v="863"/>
  </r>
  <r>
    <x v="108"/>
    <x v="5"/>
    <n v="10810334"/>
    <x v="864"/>
    <x v="864"/>
  </r>
  <r>
    <x v="108"/>
    <x v="5"/>
    <n v="10824257"/>
    <x v="865"/>
    <x v="865"/>
  </r>
  <r>
    <x v="108"/>
    <x v="5"/>
    <n v="10839194"/>
    <x v="866"/>
    <x v="866"/>
  </r>
  <r>
    <x v="108"/>
    <x v="5"/>
    <n v="10884601"/>
    <x v="867"/>
    <x v="867"/>
  </r>
  <r>
    <x v="108"/>
    <x v="5"/>
    <n v="10896678"/>
    <x v="868"/>
    <x v="868"/>
  </r>
  <r>
    <x v="108"/>
    <x v="5"/>
    <n v="10911166"/>
    <x v="869"/>
    <x v="869"/>
  </r>
  <r>
    <x v="108"/>
    <x v="5"/>
    <n v="10956512"/>
    <x v="870"/>
    <x v="870"/>
  </r>
  <r>
    <x v="108"/>
    <x v="5"/>
    <n v="10977923"/>
    <x v="871"/>
    <x v="871"/>
  </r>
  <r>
    <x v="109"/>
    <x v="5"/>
    <n v="10996357"/>
    <x v="872"/>
    <x v="872"/>
  </r>
  <r>
    <x v="109"/>
    <x v="5"/>
    <n v="11045029"/>
    <x v="873"/>
    <x v="873"/>
  </r>
  <r>
    <x v="109"/>
    <x v="5"/>
    <n v="11046328"/>
    <x v="874"/>
    <x v="874"/>
  </r>
  <r>
    <x v="109"/>
    <x v="5"/>
    <n v="11056970"/>
    <x v="875"/>
    <x v="875"/>
  </r>
  <r>
    <x v="109"/>
    <x v="5"/>
    <n v="11098434"/>
    <x v="876"/>
    <x v="876"/>
  </r>
  <r>
    <x v="109"/>
    <x v="5"/>
    <n v="11140530"/>
    <x v="877"/>
    <x v="877"/>
  </r>
  <r>
    <x v="109"/>
    <x v="5"/>
    <n v="11159268"/>
    <x v="878"/>
    <x v="878"/>
  </r>
  <r>
    <x v="109"/>
    <x v="5"/>
    <n v="11179187"/>
    <x v="879"/>
    <x v="879"/>
  </r>
  <r>
    <x v="110"/>
    <x v="5"/>
    <n v="11191349"/>
    <x v="880"/>
    <x v="880"/>
  </r>
  <r>
    <x v="110"/>
    <x v="5"/>
    <n v="11236754"/>
    <x v="881"/>
    <x v="881"/>
  </r>
  <r>
    <x v="110"/>
    <x v="5"/>
    <n v="11284090"/>
    <x v="882"/>
    <x v="882"/>
  </r>
  <r>
    <x v="110"/>
    <x v="5"/>
    <n v="11316219"/>
    <x v="883"/>
    <x v="883"/>
  </r>
  <r>
    <x v="110"/>
    <x v="5"/>
    <n v="11351672"/>
    <x v="884"/>
    <x v="884"/>
  </r>
  <r>
    <x v="110"/>
    <x v="5"/>
    <n v="11398968"/>
    <x v="885"/>
    <x v="885"/>
  </r>
  <r>
    <x v="110"/>
    <x v="5"/>
    <n v="11448087"/>
    <x v="886"/>
    <x v="886"/>
  </r>
  <r>
    <x v="110"/>
    <x v="5"/>
    <n v="11452641"/>
    <x v="887"/>
    <x v="887"/>
  </r>
  <r>
    <x v="111"/>
    <x v="5"/>
    <n v="11464599"/>
    <x v="888"/>
    <x v="888"/>
  </r>
  <r>
    <x v="111"/>
    <x v="5"/>
    <n v="11505665"/>
    <x v="889"/>
    <x v="889"/>
  </r>
  <r>
    <x v="111"/>
    <x v="5"/>
    <n v="11530455"/>
    <x v="890"/>
    <x v="890"/>
  </r>
  <r>
    <x v="111"/>
    <x v="5"/>
    <n v="11538097"/>
    <x v="891"/>
    <x v="891"/>
  </r>
  <r>
    <x v="111"/>
    <x v="5"/>
    <n v="11552751"/>
    <x v="892"/>
    <x v="892"/>
  </r>
  <r>
    <x v="111"/>
    <x v="5"/>
    <n v="11592182"/>
    <x v="893"/>
    <x v="893"/>
  </r>
  <r>
    <x v="111"/>
    <x v="5"/>
    <n v="11639271"/>
    <x v="894"/>
    <x v="894"/>
  </r>
  <r>
    <x v="111"/>
    <x v="5"/>
    <n v="11644353"/>
    <x v="895"/>
    <x v="895"/>
  </r>
  <r>
    <x v="112"/>
    <x v="5"/>
    <n v="11661684"/>
    <x v="896"/>
    <x v="896"/>
  </r>
  <r>
    <x v="112"/>
    <x v="5"/>
    <n v="11708044"/>
    <x v="897"/>
    <x v="897"/>
  </r>
  <r>
    <x v="112"/>
    <x v="5"/>
    <n v="11751970"/>
    <x v="898"/>
    <x v="898"/>
  </r>
  <r>
    <x v="112"/>
    <x v="5"/>
    <n v="11768721"/>
    <x v="899"/>
    <x v="899"/>
  </r>
  <r>
    <x v="112"/>
    <x v="6"/>
    <n v="5812443"/>
    <x v="900"/>
    <x v="900"/>
  </r>
  <r>
    <x v="112"/>
    <x v="6"/>
    <n v="5850254"/>
    <x v="901"/>
    <x v="901"/>
  </r>
  <r>
    <x v="112"/>
    <x v="6"/>
    <n v="5856680"/>
    <x v="902"/>
    <x v="902"/>
  </r>
  <r>
    <x v="112"/>
    <x v="6"/>
    <n v="5887080"/>
    <x v="903"/>
    <x v="903"/>
  </r>
  <r>
    <x v="113"/>
    <x v="6"/>
    <n v="5908822"/>
    <x v="904"/>
    <x v="904"/>
  </r>
  <r>
    <x v="113"/>
    <x v="6"/>
    <n v="5951127"/>
    <x v="905"/>
    <x v="905"/>
  </r>
  <r>
    <x v="113"/>
    <x v="6"/>
    <n v="5986938"/>
    <x v="906"/>
    <x v="906"/>
  </r>
  <r>
    <x v="113"/>
    <x v="6"/>
    <n v="6019973"/>
    <x v="907"/>
    <x v="907"/>
  </r>
  <r>
    <x v="113"/>
    <x v="6"/>
    <n v="6031222"/>
    <x v="908"/>
    <x v="908"/>
  </r>
  <r>
    <x v="113"/>
    <x v="6"/>
    <n v="6065357"/>
    <x v="909"/>
    <x v="909"/>
  </r>
  <r>
    <x v="113"/>
    <x v="6"/>
    <n v="6105060"/>
    <x v="910"/>
    <x v="910"/>
  </r>
  <r>
    <x v="113"/>
    <x v="6"/>
    <n v="6152637"/>
    <x v="911"/>
    <x v="911"/>
  </r>
  <r>
    <x v="114"/>
    <x v="6"/>
    <n v="6166514"/>
    <x v="912"/>
    <x v="912"/>
  </r>
  <r>
    <x v="114"/>
    <x v="6"/>
    <n v="6201402"/>
    <x v="913"/>
    <x v="913"/>
  </r>
  <r>
    <x v="114"/>
    <x v="6"/>
    <n v="6247512"/>
    <x v="914"/>
    <x v="914"/>
  </r>
  <r>
    <x v="114"/>
    <x v="6"/>
    <n v="6278147"/>
    <x v="915"/>
    <x v="915"/>
  </r>
  <r>
    <x v="114"/>
    <x v="6"/>
    <n v="6308118"/>
    <x v="916"/>
    <x v="916"/>
  </r>
  <r>
    <x v="114"/>
    <x v="6"/>
    <n v="6320305"/>
    <x v="917"/>
    <x v="917"/>
  </r>
  <r>
    <x v="114"/>
    <x v="6"/>
    <n v="6349941"/>
    <x v="918"/>
    <x v="918"/>
  </r>
  <r>
    <x v="114"/>
    <x v="6"/>
    <n v="6396076"/>
    <x v="919"/>
    <x v="919"/>
  </r>
  <r>
    <x v="115"/>
    <x v="6"/>
    <n v="6412145"/>
    <x v="920"/>
    <x v="920"/>
  </r>
  <r>
    <x v="115"/>
    <x v="6"/>
    <n v="6453793"/>
    <x v="921"/>
    <x v="921"/>
  </r>
  <r>
    <x v="115"/>
    <x v="6"/>
    <n v="6473755"/>
    <x v="922"/>
    <x v="922"/>
  </r>
  <r>
    <x v="115"/>
    <x v="6"/>
    <n v="6482981"/>
    <x v="923"/>
    <x v="923"/>
  </r>
  <r>
    <x v="115"/>
    <x v="6"/>
    <n v="6503595"/>
    <x v="924"/>
    <x v="924"/>
  </r>
  <r>
    <x v="115"/>
    <x v="6"/>
    <n v="6538910"/>
    <x v="925"/>
    <x v="925"/>
  </r>
  <r>
    <x v="115"/>
    <x v="6"/>
    <n v="6576412"/>
    <x v="926"/>
    <x v="926"/>
  </r>
  <r>
    <x v="115"/>
    <x v="6"/>
    <n v="6618947"/>
    <x v="927"/>
    <x v="927"/>
  </r>
  <r>
    <x v="116"/>
    <x v="6"/>
    <n v="6637434"/>
    <x v="928"/>
    <x v="928"/>
  </r>
  <r>
    <x v="116"/>
    <x v="6"/>
    <n v="6669049"/>
    <x v="929"/>
    <x v="929"/>
  </r>
  <r>
    <x v="116"/>
    <x v="6"/>
    <n v="6706338"/>
    <x v="930"/>
    <x v="930"/>
  </r>
  <r>
    <x v="116"/>
    <x v="6"/>
    <n v="6751441"/>
    <x v="931"/>
    <x v="931"/>
  </r>
  <r>
    <x v="116"/>
    <x v="6"/>
    <n v="6770578"/>
    <x v="932"/>
    <x v="932"/>
  </r>
  <r>
    <x v="116"/>
    <x v="6"/>
    <n v="6804946"/>
    <x v="933"/>
    <x v="933"/>
  </r>
  <r>
    <x v="116"/>
    <x v="6"/>
    <n v="6854035"/>
    <x v="934"/>
    <x v="934"/>
  </r>
  <r>
    <x v="116"/>
    <x v="6"/>
    <n v="6860079"/>
    <x v="935"/>
    <x v="935"/>
  </r>
  <r>
    <x v="117"/>
    <x v="6"/>
    <n v="6865093"/>
    <x v="936"/>
    <x v="936"/>
  </r>
  <r>
    <x v="117"/>
    <x v="6"/>
    <n v="6884448"/>
    <x v="937"/>
    <x v="937"/>
  </r>
  <r>
    <x v="117"/>
    <x v="6"/>
    <n v="6900813"/>
    <x v="938"/>
    <x v="938"/>
  </r>
  <r>
    <x v="117"/>
    <x v="6"/>
    <n v="6938738"/>
    <x v="939"/>
    <x v="939"/>
  </r>
  <r>
    <x v="117"/>
    <x v="6"/>
    <n v="6962310"/>
    <x v="940"/>
    <x v="940"/>
  </r>
  <r>
    <x v="117"/>
    <x v="6"/>
    <n v="6965344"/>
    <x v="941"/>
    <x v="941"/>
  </r>
  <r>
    <x v="117"/>
    <x v="6"/>
    <n v="7013110"/>
    <x v="942"/>
    <x v="942"/>
  </r>
  <r>
    <x v="117"/>
    <x v="6"/>
    <n v="7019347"/>
    <x v="943"/>
    <x v="943"/>
  </r>
  <r>
    <x v="118"/>
    <x v="6"/>
    <n v="7025203"/>
    <x v="944"/>
    <x v="944"/>
  </r>
  <r>
    <x v="118"/>
    <x v="6"/>
    <n v="7046338"/>
    <x v="945"/>
    <x v="945"/>
  </r>
  <r>
    <x v="118"/>
    <x v="6"/>
    <n v="7059469"/>
    <x v="946"/>
    <x v="946"/>
  </r>
  <r>
    <x v="118"/>
    <x v="6"/>
    <n v="7065304"/>
    <x v="947"/>
    <x v="947"/>
  </r>
  <r>
    <x v="118"/>
    <x v="6"/>
    <n v="7085117"/>
    <x v="948"/>
    <x v="948"/>
  </r>
  <r>
    <x v="118"/>
    <x v="6"/>
    <n v="7130720"/>
    <x v="949"/>
    <x v="949"/>
  </r>
  <r>
    <x v="118"/>
    <x v="6"/>
    <n v="7162463"/>
    <x v="950"/>
    <x v="950"/>
  </r>
  <r>
    <x v="118"/>
    <x v="6"/>
    <n v="7192536"/>
    <x v="951"/>
    <x v="951"/>
  </r>
  <r>
    <x v="119"/>
    <x v="6"/>
    <n v="7225593"/>
    <x v="952"/>
    <x v="952"/>
  </r>
  <r>
    <x v="119"/>
    <x v="6"/>
    <n v="7264735"/>
    <x v="953"/>
    <x v="953"/>
  </r>
  <r>
    <x v="119"/>
    <x v="6"/>
    <n v="7297860"/>
    <x v="954"/>
    <x v="954"/>
  </r>
  <r>
    <x v="119"/>
    <x v="6"/>
    <n v="7326975"/>
    <x v="955"/>
    <x v="955"/>
  </r>
  <r>
    <x v="119"/>
    <x v="6"/>
    <n v="7373898"/>
    <x v="956"/>
    <x v="956"/>
  </r>
  <r>
    <x v="119"/>
    <x v="6"/>
    <n v="7386874"/>
    <x v="957"/>
    <x v="957"/>
  </r>
  <r>
    <x v="119"/>
    <x v="6"/>
    <n v="7390844"/>
    <x v="958"/>
    <x v="958"/>
  </r>
  <r>
    <x v="119"/>
    <x v="6"/>
    <n v="7403964"/>
    <x v="959"/>
    <x v="959"/>
  </r>
  <r>
    <x v="120"/>
    <x v="6"/>
    <n v="7452794"/>
    <x v="960"/>
    <x v="960"/>
  </r>
  <r>
    <x v="120"/>
    <x v="6"/>
    <n v="7494931"/>
    <x v="961"/>
    <x v="961"/>
  </r>
  <r>
    <x v="120"/>
    <x v="6"/>
    <n v="7510002"/>
    <x v="962"/>
    <x v="962"/>
  </r>
  <r>
    <x v="120"/>
    <x v="6"/>
    <n v="7551583"/>
    <x v="963"/>
    <x v="963"/>
  </r>
  <r>
    <x v="120"/>
    <x v="6"/>
    <n v="7572208"/>
    <x v="964"/>
    <x v="964"/>
  </r>
  <r>
    <x v="120"/>
    <x v="6"/>
    <n v="7582461"/>
    <x v="965"/>
    <x v="965"/>
  </r>
  <r>
    <x v="120"/>
    <x v="6"/>
    <n v="7608987"/>
    <x v="966"/>
    <x v="966"/>
  </r>
  <r>
    <x v="120"/>
    <x v="6"/>
    <n v="7632391"/>
    <x v="967"/>
    <x v="967"/>
  </r>
  <r>
    <x v="121"/>
    <x v="6"/>
    <n v="7646260"/>
    <x v="968"/>
    <x v="968"/>
  </r>
  <r>
    <x v="121"/>
    <x v="6"/>
    <n v="7689919"/>
    <x v="969"/>
    <x v="969"/>
  </r>
  <r>
    <x v="121"/>
    <x v="6"/>
    <n v="7731686"/>
    <x v="970"/>
    <x v="970"/>
  </r>
  <r>
    <x v="121"/>
    <x v="6"/>
    <n v="7751044"/>
    <x v="971"/>
    <x v="971"/>
  </r>
  <r>
    <x v="121"/>
    <x v="6"/>
    <n v="7754900"/>
    <x v="972"/>
    <x v="972"/>
  </r>
  <r>
    <x v="121"/>
    <x v="6"/>
    <n v="7773915"/>
    <x v="973"/>
    <x v="973"/>
  </r>
  <r>
    <x v="121"/>
    <x v="6"/>
    <n v="7785152"/>
    <x v="974"/>
    <x v="974"/>
  </r>
  <r>
    <x v="121"/>
    <x v="6"/>
    <n v="7830092"/>
    <x v="975"/>
    <x v="975"/>
  </r>
  <r>
    <x v="122"/>
    <x v="6"/>
    <n v="7841309"/>
    <x v="976"/>
    <x v="976"/>
  </r>
  <r>
    <x v="122"/>
    <x v="6"/>
    <n v="7844999"/>
    <x v="977"/>
    <x v="977"/>
  </r>
  <r>
    <x v="122"/>
    <x v="6"/>
    <n v="7855052"/>
    <x v="978"/>
    <x v="978"/>
  </r>
  <r>
    <x v="122"/>
    <x v="6"/>
    <n v="7894176"/>
    <x v="979"/>
    <x v="979"/>
  </r>
  <r>
    <x v="122"/>
    <x v="6"/>
    <n v="7935918"/>
    <x v="980"/>
    <x v="980"/>
  </r>
  <r>
    <x v="122"/>
    <x v="6"/>
    <n v="7942954"/>
    <x v="981"/>
    <x v="981"/>
  </r>
  <r>
    <x v="122"/>
    <x v="6"/>
    <n v="7960562"/>
    <x v="982"/>
    <x v="982"/>
  </r>
  <r>
    <x v="122"/>
    <x v="6"/>
    <n v="7964368"/>
    <x v="983"/>
    <x v="983"/>
  </r>
  <r>
    <x v="123"/>
    <x v="6"/>
    <n v="7980402"/>
    <x v="984"/>
    <x v="984"/>
  </r>
  <r>
    <x v="123"/>
    <x v="6"/>
    <n v="8003317"/>
    <x v="985"/>
    <x v="985"/>
  </r>
  <r>
    <x v="123"/>
    <x v="6"/>
    <n v="8043373"/>
    <x v="986"/>
    <x v="986"/>
  </r>
  <r>
    <x v="123"/>
    <x v="6"/>
    <n v="8070909"/>
    <x v="987"/>
    <x v="987"/>
  </r>
  <r>
    <x v="123"/>
    <x v="6"/>
    <n v="8080111"/>
    <x v="988"/>
    <x v="988"/>
  </r>
  <r>
    <x v="123"/>
    <x v="6"/>
    <n v="8107339"/>
    <x v="989"/>
    <x v="989"/>
  </r>
  <r>
    <x v="123"/>
    <x v="6"/>
    <n v="8113021"/>
    <x v="990"/>
    <x v="990"/>
  </r>
  <r>
    <x v="123"/>
    <x v="6"/>
    <n v="8127411"/>
    <x v="991"/>
    <x v="991"/>
  </r>
  <r>
    <x v="124"/>
    <x v="6"/>
    <n v="8134158"/>
    <x v="992"/>
    <x v="992"/>
  </r>
  <r>
    <x v="124"/>
    <x v="6"/>
    <n v="8146828"/>
    <x v="993"/>
    <x v="993"/>
  </r>
  <r>
    <x v="124"/>
    <x v="6"/>
    <n v="8163598"/>
    <x v="994"/>
    <x v="994"/>
  </r>
  <r>
    <x v="124"/>
    <x v="6"/>
    <n v="8169869"/>
    <x v="995"/>
    <x v="995"/>
  </r>
  <r>
    <x v="124"/>
    <x v="6"/>
    <n v="8215662"/>
    <x v="996"/>
    <x v="996"/>
  </r>
  <r>
    <x v="124"/>
    <x v="6"/>
    <n v="8219331"/>
    <x v="997"/>
    <x v="997"/>
  </r>
  <r>
    <x v="124"/>
    <x v="6"/>
    <n v="8228479"/>
    <x v="998"/>
    <x v="998"/>
  </r>
  <r>
    <x v="124"/>
    <x v="6"/>
    <n v="8250790"/>
    <x v="999"/>
    <x v="999"/>
  </r>
  <r>
    <x v="125"/>
    <x v="6"/>
    <n v="8257634"/>
    <x v="1000"/>
    <x v="1000"/>
  </r>
  <r>
    <x v="125"/>
    <x v="6"/>
    <n v="8285128"/>
    <x v="1001"/>
    <x v="1001"/>
  </r>
  <r>
    <x v="125"/>
    <x v="6"/>
    <n v="8311443"/>
    <x v="1002"/>
    <x v="1002"/>
  </r>
  <r>
    <x v="125"/>
    <x v="6"/>
    <n v="8317646"/>
    <x v="1003"/>
    <x v="1003"/>
  </r>
  <r>
    <x v="125"/>
    <x v="6"/>
    <n v="8350256"/>
    <x v="1004"/>
    <x v="1004"/>
  </r>
  <r>
    <x v="125"/>
    <x v="6"/>
    <n v="8355818"/>
    <x v="1005"/>
    <x v="1005"/>
  </r>
  <r>
    <x v="125"/>
    <x v="6"/>
    <n v="8357351"/>
    <x v="1006"/>
    <x v="1006"/>
  </r>
  <r>
    <x v="125"/>
    <x v="6"/>
    <n v="8393462"/>
    <x v="1007"/>
    <x v="1007"/>
  </r>
  <r>
    <x v="126"/>
    <x v="6"/>
    <n v="8416870"/>
    <x v="1008"/>
    <x v="1008"/>
  </r>
  <r>
    <x v="126"/>
    <x v="6"/>
    <n v="8464471"/>
    <x v="1009"/>
    <x v="1009"/>
  </r>
  <r>
    <x v="126"/>
    <x v="6"/>
    <n v="8478532"/>
    <x v="1010"/>
    <x v="1010"/>
  </r>
  <r>
    <x v="126"/>
    <x v="6"/>
    <n v="8486904"/>
    <x v="1011"/>
    <x v="1011"/>
  </r>
  <r>
    <x v="126"/>
    <x v="6"/>
    <n v="8521234"/>
    <x v="1012"/>
    <x v="1012"/>
  </r>
  <r>
    <x v="126"/>
    <x v="6"/>
    <n v="8532070"/>
    <x v="1013"/>
    <x v="1013"/>
  </r>
  <r>
    <x v="126"/>
    <x v="6"/>
    <n v="8570812"/>
    <x v="1014"/>
    <x v="1014"/>
  </r>
  <r>
    <x v="126"/>
    <x v="6"/>
    <n v="8594602"/>
    <x v="1015"/>
    <x v="1015"/>
  </r>
  <r>
    <x v="127"/>
    <x v="6"/>
    <n v="8596196"/>
    <x v="1016"/>
    <x v="1016"/>
  </r>
  <r>
    <x v="127"/>
    <x v="6"/>
    <n v="8639745"/>
    <x v="1017"/>
    <x v="1017"/>
  </r>
  <r>
    <x v="127"/>
    <x v="6"/>
    <n v="8685880"/>
    <x v="926"/>
    <x v="1018"/>
  </r>
  <r>
    <x v="127"/>
    <x v="6"/>
    <n v="8698078"/>
    <x v="1018"/>
    <x v="1019"/>
  </r>
  <r>
    <x v="127"/>
    <x v="6"/>
    <n v="8742952"/>
    <x v="1019"/>
    <x v="1020"/>
  </r>
  <r>
    <x v="127"/>
    <x v="6"/>
    <n v="8766793"/>
    <x v="1020"/>
    <x v="1021"/>
  </r>
  <r>
    <x v="127"/>
    <x v="6"/>
    <n v="8815122"/>
    <x v="1021"/>
    <x v="1022"/>
  </r>
  <r>
    <x v="127"/>
    <x v="6"/>
    <n v="8837214"/>
    <x v="1022"/>
    <x v="1023"/>
  </r>
  <r>
    <x v="128"/>
    <x v="6"/>
    <n v="8859357"/>
    <x v="1023"/>
    <x v="1024"/>
  </r>
  <r>
    <x v="128"/>
    <x v="6"/>
    <n v="8865883"/>
    <x v="1024"/>
    <x v="1025"/>
  </r>
  <r>
    <x v="128"/>
    <x v="6"/>
    <n v="8890009"/>
    <x v="1025"/>
    <x v="1026"/>
  </r>
  <r>
    <x v="128"/>
    <x v="6"/>
    <n v="8936909"/>
    <x v="1026"/>
    <x v="1027"/>
  </r>
  <r>
    <x v="128"/>
    <x v="6"/>
    <n v="8968906"/>
    <x v="1027"/>
    <x v="1028"/>
  </r>
  <r>
    <x v="128"/>
    <x v="6"/>
    <n v="9012167"/>
    <x v="1028"/>
    <x v="1029"/>
  </r>
  <r>
    <x v="128"/>
    <x v="6"/>
    <n v="9047015"/>
    <x v="1029"/>
    <x v="1030"/>
  </r>
  <r>
    <x v="128"/>
    <x v="6"/>
    <n v="9064273"/>
    <x v="1030"/>
    <x v="1031"/>
  </r>
  <r>
    <x v="129"/>
    <x v="6"/>
    <n v="9085153"/>
    <x v="1031"/>
    <x v="1032"/>
  </r>
  <r>
    <x v="129"/>
    <x v="6"/>
    <n v="9096981"/>
    <x v="1032"/>
    <x v="1033"/>
  </r>
  <r>
    <x v="129"/>
    <x v="6"/>
    <n v="9136724"/>
    <x v="1033"/>
    <x v="1034"/>
  </r>
  <r>
    <x v="129"/>
    <x v="6"/>
    <n v="9169747"/>
    <x v="1034"/>
    <x v="1035"/>
  </r>
  <r>
    <x v="129"/>
    <x v="6"/>
    <n v="9181605"/>
    <x v="1035"/>
    <x v="1036"/>
  </r>
  <r>
    <x v="129"/>
    <x v="6"/>
    <n v="9188955"/>
    <x v="1036"/>
    <x v="1037"/>
  </r>
  <r>
    <x v="129"/>
    <x v="6"/>
    <n v="9204875"/>
    <x v="1037"/>
    <x v="1038"/>
  </r>
  <r>
    <x v="129"/>
    <x v="6"/>
    <n v="9215323"/>
    <x v="1038"/>
    <x v="1039"/>
  </r>
  <r>
    <x v="130"/>
    <x v="6"/>
    <n v="9263761"/>
    <x v="1039"/>
    <x v="1040"/>
  </r>
  <r>
    <x v="130"/>
    <x v="6"/>
    <n v="9284602"/>
    <x v="1040"/>
    <x v="1041"/>
  </r>
  <r>
    <x v="130"/>
    <x v="6"/>
    <n v="9312220"/>
    <x v="1041"/>
    <x v="1042"/>
  </r>
  <r>
    <x v="130"/>
    <x v="6"/>
    <n v="9332234"/>
    <x v="1042"/>
    <x v="1043"/>
  </r>
  <r>
    <x v="130"/>
    <x v="6"/>
    <n v="9340326"/>
    <x v="1043"/>
    <x v="1044"/>
  </r>
  <r>
    <x v="130"/>
    <x v="6"/>
    <n v="9373063"/>
    <x v="1044"/>
    <x v="1045"/>
  </r>
  <r>
    <x v="130"/>
    <x v="6"/>
    <n v="9412451"/>
    <x v="1045"/>
    <x v="1046"/>
  </r>
  <r>
    <x v="130"/>
    <x v="6"/>
    <n v="9426892"/>
    <x v="1046"/>
    <x v="1047"/>
  </r>
  <r>
    <x v="131"/>
    <x v="6"/>
    <n v="9444049"/>
    <x v="1047"/>
    <x v="1048"/>
  </r>
  <r>
    <x v="131"/>
    <x v="6"/>
    <n v="9451670"/>
    <x v="1048"/>
    <x v="1049"/>
  </r>
  <r>
    <x v="131"/>
    <x v="7"/>
    <n v="6839530"/>
    <x v="1049"/>
    <x v="1050"/>
  </r>
  <r>
    <x v="131"/>
    <x v="7"/>
    <n v="6884500"/>
    <x v="1050"/>
    <x v="1051"/>
  </r>
  <r>
    <x v="131"/>
    <x v="7"/>
    <n v="6892400"/>
    <x v="1051"/>
    <x v="1052"/>
  </r>
  <r>
    <x v="131"/>
    <x v="7"/>
    <n v="6907366"/>
    <x v="1052"/>
    <x v="1053"/>
  </r>
  <r>
    <x v="131"/>
    <x v="7"/>
    <n v="6945211"/>
    <x v="1053"/>
    <x v="1054"/>
  </r>
  <r>
    <x v="131"/>
    <x v="7"/>
    <n v="6990123"/>
    <x v="1054"/>
    <x v="1055"/>
  </r>
  <r>
    <x v="132"/>
    <x v="7"/>
    <n v="7006261"/>
    <x v="1055"/>
    <x v="1056"/>
  </r>
  <r>
    <x v="132"/>
    <x v="7"/>
    <n v="7033452"/>
    <x v="1056"/>
    <x v="1057"/>
  </r>
  <r>
    <x v="132"/>
    <x v="7"/>
    <n v="7044060"/>
    <x v="1057"/>
    <x v="1058"/>
  </r>
  <r>
    <x v="132"/>
    <x v="7"/>
    <n v="7075213"/>
    <x v="1058"/>
    <x v="1059"/>
  </r>
  <r>
    <x v="132"/>
    <x v="7"/>
    <n v="7090685"/>
    <x v="1059"/>
    <x v="1060"/>
  </r>
  <r>
    <x v="132"/>
    <x v="7"/>
    <n v="7104919"/>
    <x v="1060"/>
    <x v="1061"/>
  </r>
  <r>
    <x v="132"/>
    <x v="7"/>
    <n v="7118460"/>
    <x v="1061"/>
    <x v="1062"/>
  </r>
  <r>
    <x v="132"/>
    <x v="7"/>
    <n v="7143547"/>
    <x v="1062"/>
    <x v="1063"/>
  </r>
  <r>
    <x v="133"/>
    <x v="7"/>
    <n v="7169490"/>
    <x v="1063"/>
    <x v="1064"/>
  </r>
  <r>
    <x v="133"/>
    <x v="7"/>
    <n v="7173537"/>
    <x v="1064"/>
    <x v="1065"/>
  </r>
  <r>
    <x v="133"/>
    <x v="7"/>
    <n v="7204306"/>
    <x v="1065"/>
    <x v="1066"/>
  </r>
  <r>
    <x v="133"/>
    <x v="7"/>
    <n v="7222278"/>
    <x v="1066"/>
    <x v="1067"/>
  </r>
  <r>
    <x v="133"/>
    <x v="7"/>
    <n v="7244818"/>
    <x v="1067"/>
    <x v="1068"/>
  </r>
  <r>
    <x v="133"/>
    <x v="7"/>
    <n v="7272346"/>
    <x v="1068"/>
    <x v="1069"/>
  </r>
  <r>
    <x v="133"/>
    <x v="7"/>
    <n v="7293609"/>
    <x v="1069"/>
    <x v="1070"/>
  </r>
  <r>
    <x v="133"/>
    <x v="7"/>
    <n v="7339146"/>
    <x v="1070"/>
    <x v="1071"/>
  </r>
  <r>
    <x v="134"/>
    <x v="7"/>
    <n v="7356547"/>
    <x v="1071"/>
    <x v="1072"/>
  </r>
  <r>
    <x v="134"/>
    <x v="7"/>
    <n v="7375540"/>
    <x v="1072"/>
    <x v="1073"/>
  </r>
  <r>
    <x v="134"/>
    <x v="7"/>
    <n v="7391053"/>
    <x v="1073"/>
    <x v="1074"/>
  </r>
  <r>
    <x v="134"/>
    <x v="7"/>
    <n v="7393393"/>
    <x v="1074"/>
    <x v="1075"/>
  </r>
  <r>
    <x v="134"/>
    <x v="7"/>
    <n v="7413339"/>
    <x v="1075"/>
    <x v="1076"/>
  </r>
  <r>
    <x v="134"/>
    <x v="7"/>
    <n v="7455917"/>
    <x v="1076"/>
    <x v="1077"/>
  </r>
  <r>
    <x v="134"/>
    <x v="7"/>
    <n v="7502006"/>
    <x v="1077"/>
    <x v="1078"/>
  </r>
  <r>
    <x v="134"/>
    <x v="7"/>
    <n v="7504806"/>
    <x v="1078"/>
    <x v="1079"/>
  </r>
  <r>
    <x v="135"/>
    <x v="7"/>
    <n v="7524703"/>
    <x v="1079"/>
    <x v="1080"/>
  </r>
  <r>
    <x v="135"/>
    <x v="7"/>
    <n v="7558571"/>
    <x v="1080"/>
    <x v="1081"/>
  </r>
  <r>
    <x v="135"/>
    <x v="7"/>
    <n v="7570035"/>
    <x v="1081"/>
    <x v="1082"/>
  </r>
  <r>
    <x v="135"/>
    <x v="7"/>
    <n v="7609288"/>
    <x v="1082"/>
    <x v="1083"/>
  </r>
  <r>
    <x v="135"/>
    <x v="7"/>
    <n v="7628849"/>
    <x v="1083"/>
    <x v="1084"/>
  </r>
  <r>
    <x v="135"/>
    <x v="7"/>
    <n v="7654039"/>
    <x v="1084"/>
    <x v="1085"/>
  </r>
  <r>
    <x v="135"/>
    <x v="7"/>
    <n v="7684455"/>
    <x v="1085"/>
    <x v="1086"/>
  </r>
  <r>
    <x v="135"/>
    <x v="7"/>
    <n v="7708394"/>
    <x v="1086"/>
    <x v="1087"/>
  </r>
  <r>
    <x v="136"/>
    <x v="7"/>
    <n v="7745911"/>
    <x v="1087"/>
    <x v="1088"/>
  </r>
  <r>
    <x v="136"/>
    <x v="7"/>
    <n v="7782567"/>
    <x v="1088"/>
    <x v="1089"/>
  </r>
  <r>
    <x v="136"/>
    <x v="7"/>
    <n v="7819646"/>
    <x v="1089"/>
    <x v="1090"/>
  </r>
  <r>
    <x v="136"/>
    <x v="7"/>
    <n v="7851671"/>
    <x v="1090"/>
    <x v="1091"/>
  </r>
  <r>
    <x v="136"/>
    <x v="7"/>
    <n v="7881779"/>
    <x v="1091"/>
    <x v="1092"/>
  </r>
  <r>
    <x v="136"/>
    <x v="7"/>
    <n v="7931629"/>
    <x v="1092"/>
    <x v="1093"/>
  </r>
  <r>
    <x v="136"/>
    <x v="7"/>
    <n v="7952019"/>
    <x v="1093"/>
    <x v="1094"/>
  </r>
  <r>
    <x v="136"/>
    <x v="7"/>
    <n v="7970819"/>
    <x v="1094"/>
    <x v="1095"/>
  </r>
  <r>
    <x v="137"/>
    <x v="7"/>
    <n v="8000256"/>
    <x v="1095"/>
    <x v="1096"/>
  </r>
  <r>
    <x v="137"/>
    <x v="7"/>
    <n v="8010850"/>
    <x v="1096"/>
    <x v="1097"/>
  </r>
  <r>
    <x v="137"/>
    <x v="7"/>
    <n v="8055208"/>
    <x v="1097"/>
    <x v="1098"/>
  </r>
  <r>
    <x v="137"/>
    <x v="7"/>
    <n v="8088679"/>
    <x v="1098"/>
    <x v="1099"/>
  </r>
  <r>
    <x v="137"/>
    <x v="7"/>
    <n v="8135908"/>
    <x v="498"/>
    <x v="1100"/>
  </r>
  <r>
    <x v="137"/>
    <x v="7"/>
    <n v="8148635"/>
    <x v="1099"/>
    <x v="1101"/>
  </r>
  <r>
    <x v="137"/>
    <x v="7"/>
    <n v="8180511"/>
    <x v="1100"/>
    <x v="1102"/>
  </r>
  <r>
    <x v="137"/>
    <x v="7"/>
    <n v="8183264"/>
    <x v="1101"/>
    <x v="1103"/>
  </r>
  <r>
    <x v="138"/>
    <x v="7"/>
    <n v="8226174"/>
    <x v="1102"/>
    <x v="1104"/>
  </r>
  <r>
    <x v="138"/>
    <x v="7"/>
    <n v="8258979"/>
    <x v="1103"/>
    <x v="1105"/>
  </r>
  <r>
    <x v="138"/>
    <x v="7"/>
    <n v="8273079"/>
    <x v="1104"/>
    <x v="1106"/>
  </r>
  <r>
    <x v="138"/>
    <x v="7"/>
    <n v="8283285"/>
    <x v="1105"/>
    <x v="1107"/>
  </r>
  <r>
    <x v="138"/>
    <x v="7"/>
    <n v="8298910"/>
    <x v="1106"/>
    <x v="1108"/>
  </r>
  <r>
    <x v="138"/>
    <x v="7"/>
    <n v="8329662"/>
    <x v="1107"/>
    <x v="1109"/>
  </r>
  <r>
    <x v="138"/>
    <x v="7"/>
    <n v="8371718"/>
    <x v="1108"/>
    <x v="1110"/>
  </r>
  <r>
    <x v="138"/>
    <x v="7"/>
    <n v="8372775"/>
    <x v="1109"/>
    <x v="1111"/>
  </r>
  <r>
    <x v="139"/>
    <x v="7"/>
    <n v="8376576"/>
    <x v="1110"/>
    <x v="1112"/>
  </r>
  <r>
    <x v="139"/>
    <x v="7"/>
    <n v="8425578"/>
    <x v="1111"/>
    <x v="1113"/>
  </r>
  <r>
    <x v="139"/>
    <x v="7"/>
    <n v="8427852"/>
    <x v="1112"/>
    <x v="1114"/>
  </r>
  <r>
    <x v="139"/>
    <x v="7"/>
    <n v="8429378"/>
    <x v="1113"/>
    <x v="1115"/>
  </r>
  <r>
    <x v="139"/>
    <x v="7"/>
    <n v="8472418"/>
    <x v="1114"/>
    <x v="1116"/>
  </r>
  <r>
    <x v="139"/>
    <x v="7"/>
    <n v="8504238"/>
    <x v="1115"/>
    <x v="1117"/>
  </r>
  <r>
    <x v="139"/>
    <x v="7"/>
    <n v="8516874"/>
    <x v="1116"/>
    <x v="1118"/>
  </r>
  <r>
    <x v="139"/>
    <x v="7"/>
    <n v="8555088"/>
    <x v="1117"/>
    <x v="1119"/>
  </r>
  <r>
    <x v="140"/>
    <x v="7"/>
    <n v="8573302"/>
    <x v="1118"/>
    <x v="1120"/>
  </r>
  <r>
    <x v="140"/>
    <x v="7"/>
    <n v="8614642"/>
    <x v="1119"/>
    <x v="1121"/>
  </r>
  <r>
    <x v="140"/>
    <x v="7"/>
    <n v="8616993"/>
    <x v="1120"/>
    <x v="1122"/>
  </r>
  <r>
    <x v="140"/>
    <x v="7"/>
    <n v="8638715"/>
    <x v="1121"/>
    <x v="1123"/>
  </r>
  <r>
    <x v="140"/>
    <x v="7"/>
    <n v="8657646"/>
    <x v="1122"/>
    <x v="1124"/>
  </r>
  <r>
    <x v="140"/>
    <x v="7"/>
    <n v="8686576"/>
    <x v="1123"/>
    <x v="1125"/>
  </r>
  <r>
    <x v="140"/>
    <x v="7"/>
    <n v="8731151"/>
    <x v="1124"/>
    <x v="1126"/>
  </r>
  <r>
    <x v="140"/>
    <x v="7"/>
    <n v="8733568"/>
    <x v="1125"/>
    <x v="1127"/>
  </r>
  <r>
    <x v="141"/>
    <x v="7"/>
    <n v="8779277"/>
    <x v="1126"/>
    <x v="1128"/>
  </r>
  <r>
    <x v="141"/>
    <x v="7"/>
    <n v="8820459"/>
    <x v="1127"/>
    <x v="1129"/>
  </r>
  <r>
    <x v="141"/>
    <x v="7"/>
    <n v="8859700"/>
    <x v="1128"/>
    <x v="1130"/>
  </r>
  <r>
    <x v="141"/>
    <x v="7"/>
    <n v="8901383"/>
    <x v="1129"/>
    <x v="1131"/>
  </r>
  <r>
    <x v="141"/>
    <x v="7"/>
    <n v="8938959"/>
    <x v="1130"/>
    <x v="1132"/>
  </r>
  <r>
    <x v="141"/>
    <x v="7"/>
    <n v="8944454"/>
    <x v="1131"/>
    <x v="1133"/>
  </r>
  <r>
    <x v="141"/>
    <x v="7"/>
    <n v="8979529"/>
    <x v="1132"/>
    <x v="1134"/>
  </r>
  <r>
    <x v="141"/>
    <x v="7"/>
    <n v="8997265"/>
    <x v="1133"/>
    <x v="1135"/>
  </r>
  <r>
    <x v="142"/>
    <x v="7"/>
    <n v="8998322"/>
    <x v="1134"/>
    <x v="1136"/>
  </r>
  <r>
    <x v="142"/>
    <x v="7"/>
    <n v="9033751"/>
    <x v="1135"/>
    <x v="1137"/>
  </r>
  <r>
    <x v="142"/>
    <x v="7"/>
    <n v="9077101"/>
    <x v="1136"/>
    <x v="1138"/>
  </r>
  <r>
    <x v="142"/>
    <x v="7"/>
    <n v="9088813"/>
    <x v="1137"/>
    <x v="1139"/>
  </r>
  <r>
    <x v="142"/>
    <x v="7"/>
    <n v="9129596"/>
    <x v="1138"/>
    <x v="1140"/>
  </r>
  <r>
    <x v="142"/>
    <x v="7"/>
    <n v="9165845"/>
    <x v="1139"/>
    <x v="1141"/>
  </r>
  <r>
    <x v="142"/>
    <x v="7"/>
    <n v="9189169"/>
    <x v="1140"/>
    <x v="1142"/>
  </r>
  <r>
    <x v="142"/>
    <x v="7"/>
    <n v="9211902"/>
    <x v="1141"/>
    <x v="1143"/>
  </r>
  <r>
    <x v="143"/>
    <x v="7"/>
    <n v="9254018"/>
    <x v="1142"/>
    <x v="1144"/>
  </r>
  <r>
    <x v="143"/>
    <x v="7"/>
    <n v="9290041"/>
    <x v="1143"/>
    <x v="1145"/>
  </r>
  <r>
    <x v="143"/>
    <x v="7"/>
    <n v="9293280"/>
    <x v="1144"/>
    <x v="1146"/>
  </r>
  <r>
    <x v="143"/>
    <x v="7"/>
    <n v="9311225"/>
    <x v="1145"/>
    <x v="1147"/>
  </r>
  <r>
    <x v="143"/>
    <x v="7"/>
    <n v="9341985"/>
    <x v="1146"/>
    <x v="1148"/>
  </r>
  <r>
    <x v="143"/>
    <x v="7"/>
    <n v="9345685"/>
    <x v="1147"/>
    <x v="1149"/>
  </r>
  <r>
    <x v="143"/>
    <x v="7"/>
    <n v="9354534"/>
    <x v="1148"/>
    <x v="1150"/>
  </r>
  <r>
    <x v="143"/>
    <x v="7"/>
    <n v="9359921"/>
    <x v="1149"/>
    <x v="1151"/>
  </r>
  <r>
    <x v="144"/>
    <x v="7"/>
    <n v="9406990"/>
    <x v="1150"/>
    <x v="1152"/>
  </r>
  <r>
    <x v="144"/>
    <x v="7"/>
    <n v="9455326"/>
    <x v="1151"/>
    <x v="1153"/>
  </r>
  <r>
    <x v="144"/>
    <x v="7"/>
    <n v="9465258"/>
    <x v="1152"/>
    <x v="1154"/>
  </r>
  <r>
    <x v="144"/>
    <x v="7"/>
    <n v="9483624"/>
    <x v="1153"/>
    <x v="1155"/>
  </r>
  <r>
    <x v="144"/>
    <x v="7"/>
    <n v="9518999"/>
    <x v="1154"/>
    <x v="1156"/>
  </r>
  <r>
    <x v="144"/>
    <x v="7"/>
    <n v="9562366"/>
    <x v="1155"/>
    <x v="1157"/>
  </r>
  <r>
    <x v="144"/>
    <x v="7"/>
    <n v="9564908"/>
    <x v="1156"/>
    <x v="1158"/>
  </r>
  <r>
    <x v="144"/>
    <x v="7"/>
    <n v="9578332"/>
    <x v="1157"/>
    <x v="1159"/>
  </r>
  <r>
    <x v="145"/>
    <x v="7"/>
    <n v="9583186"/>
    <x v="1158"/>
    <x v="1160"/>
  </r>
  <r>
    <x v="145"/>
    <x v="7"/>
    <n v="9602500"/>
    <x v="986"/>
    <x v="1161"/>
  </r>
  <r>
    <x v="145"/>
    <x v="7"/>
    <n v="9604207"/>
    <x v="1159"/>
    <x v="1162"/>
  </r>
  <r>
    <x v="145"/>
    <x v="7"/>
    <n v="9639520"/>
    <x v="1160"/>
    <x v="1163"/>
  </r>
  <r>
    <x v="145"/>
    <x v="7"/>
    <n v="9646369"/>
    <x v="1161"/>
    <x v="1164"/>
  </r>
  <r>
    <x v="145"/>
    <x v="7"/>
    <n v="9652488"/>
    <x v="1162"/>
    <x v="1165"/>
  </r>
  <r>
    <x v="145"/>
    <x v="7"/>
    <n v="9674249"/>
    <x v="1163"/>
    <x v="1166"/>
  </r>
  <r>
    <x v="145"/>
    <x v="7"/>
    <n v="9720862"/>
    <x v="1164"/>
    <x v="1167"/>
  </r>
  <r>
    <x v="146"/>
    <x v="7"/>
    <n v="9740564"/>
    <x v="1165"/>
    <x v="1168"/>
  </r>
  <r>
    <x v="146"/>
    <x v="7"/>
    <n v="9744603"/>
    <x v="1166"/>
    <x v="1169"/>
  </r>
  <r>
    <x v="146"/>
    <x v="7"/>
    <n v="9748490"/>
    <x v="1167"/>
    <x v="1170"/>
  </r>
  <r>
    <x v="146"/>
    <x v="7"/>
    <n v="9787776"/>
    <x v="1168"/>
    <x v="1171"/>
  </r>
  <r>
    <x v="146"/>
    <x v="7"/>
    <n v="9793143"/>
    <x v="1169"/>
    <x v="1172"/>
  </r>
  <r>
    <x v="146"/>
    <x v="7"/>
    <n v="9801271"/>
    <x v="1170"/>
    <x v="1173"/>
  </r>
  <r>
    <x v="146"/>
    <x v="7"/>
    <n v="9825041"/>
    <x v="1171"/>
    <x v="1174"/>
  </r>
  <r>
    <x v="146"/>
    <x v="7"/>
    <n v="9860890"/>
    <x v="935"/>
    <x v="1175"/>
  </r>
  <r>
    <x v="147"/>
    <x v="7"/>
    <n v="9890932"/>
    <x v="1172"/>
    <x v="1176"/>
  </r>
  <r>
    <x v="147"/>
    <x v="7"/>
    <n v="9898449"/>
    <x v="1173"/>
    <x v="1177"/>
  </r>
  <r>
    <x v="147"/>
    <x v="7"/>
    <n v="9910445"/>
    <x v="1174"/>
    <x v="1178"/>
  </r>
  <r>
    <x v="147"/>
    <x v="7"/>
    <n v="9923149"/>
    <x v="1175"/>
    <x v="1179"/>
  </r>
  <r>
    <x v="147"/>
    <x v="7"/>
    <n v="9957036"/>
    <x v="1176"/>
    <x v="1180"/>
  </r>
  <r>
    <x v="147"/>
    <x v="7"/>
    <n v="9995516"/>
    <x v="1177"/>
    <x v="1181"/>
  </r>
  <r>
    <x v="147"/>
    <x v="7"/>
    <n v="10033695"/>
    <x v="1178"/>
    <x v="1182"/>
  </r>
  <r>
    <x v="147"/>
    <x v="7"/>
    <n v="10069238"/>
    <x v="1179"/>
    <x v="1183"/>
  </r>
  <r>
    <x v="148"/>
    <x v="7"/>
    <n v="10085480"/>
    <x v="1180"/>
    <x v="1184"/>
  </r>
  <r>
    <x v="148"/>
    <x v="7"/>
    <n v="10091071"/>
    <x v="1181"/>
    <x v="1185"/>
  </r>
  <r>
    <x v="148"/>
    <x v="7"/>
    <n v="10112887"/>
    <x v="1182"/>
    <x v="1186"/>
  </r>
  <r>
    <x v="148"/>
    <x v="7"/>
    <n v="10128941"/>
    <x v="1183"/>
    <x v="1187"/>
  </r>
  <r>
    <x v="148"/>
    <x v="7"/>
    <n v="10158511"/>
    <x v="1184"/>
    <x v="1188"/>
  </r>
  <r>
    <x v="148"/>
    <x v="7"/>
    <n v="10178972"/>
    <x v="1185"/>
    <x v="1189"/>
  </r>
  <r>
    <x v="148"/>
    <x v="7"/>
    <n v="10209716"/>
    <x v="1186"/>
    <x v="1190"/>
  </r>
  <r>
    <x v="148"/>
    <x v="7"/>
    <n v="10259385"/>
    <x v="1187"/>
    <x v="1191"/>
  </r>
  <r>
    <x v="149"/>
    <x v="7"/>
    <n v="10274190"/>
    <x v="1188"/>
    <x v="1192"/>
  </r>
  <r>
    <x v="149"/>
    <x v="7"/>
    <n v="10285299"/>
    <x v="1189"/>
    <x v="1193"/>
  </r>
  <r>
    <x v="149"/>
    <x v="7"/>
    <n v="10298520"/>
    <x v="1190"/>
    <x v="1194"/>
  </r>
  <r>
    <x v="149"/>
    <x v="7"/>
    <n v="10331612"/>
    <x v="1191"/>
    <x v="1195"/>
  </r>
  <r>
    <x v="149"/>
    <x v="7"/>
    <n v="10360239"/>
    <x v="1192"/>
    <x v="1196"/>
  </r>
  <r>
    <x v="149"/>
    <x v="7"/>
    <n v="10368287"/>
    <x v="1193"/>
    <x v="1197"/>
  </r>
  <r>
    <x v="149"/>
    <x v="7"/>
    <n v="10403737"/>
    <x v="1194"/>
    <x v="1198"/>
  </r>
  <r>
    <x v="149"/>
    <x v="7"/>
    <n v="10430974"/>
    <x v="1195"/>
    <x v="11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1084329"/>
  </r>
  <r>
    <x v="0"/>
    <n v="414399"/>
  </r>
  <r>
    <x v="0"/>
    <n v="469500"/>
  </r>
  <r>
    <x v="0"/>
    <n v="1523933"/>
  </r>
  <r>
    <x v="0"/>
    <n v="1473995"/>
  </r>
  <r>
    <x v="0"/>
    <n v="1466373"/>
  </r>
  <r>
    <x v="0"/>
    <n v="1257301"/>
  </r>
  <r>
    <x v="0"/>
    <n v="1441826"/>
  </r>
  <r>
    <x v="1"/>
    <n v="1442047"/>
  </r>
  <r>
    <x v="1"/>
    <n v="1353772"/>
  </r>
  <r>
    <x v="1"/>
    <n v="759672"/>
  </r>
  <r>
    <x v="1"/>
    <n v="1429710"/>
  </r>
  <r>
    <x v="1"/>
    <n v="586614"/>
  </r>
  <r>
    <x v="1"/>
    <n v="1415488"/>
  </r>
  <r>
    <x v="1"/>
    <n v="1115738"/>
  </r>
  <r>
    <x v="1"/>
    <n v="858861"/>
  </r>
  <r>
    <x v="2"/>
    <n v="1566022"/>
  </r>
  <r>
    <x v="2"/>
    <n v="1375397"/>
  </r>
  <r>
    <x v="2"/>
    <n v="1384927"/>
  </r>
  <r>
    <x v="2"/>
    <n v="1253609"/>
  </r>
  <r>
    <x v="2"/>
    <n v="1129110"/>
  </r>
  <r>
    <x v="2"/>
    <n v="557614"/>
  </r>
  <r>
    <x v="2"/>
    <n v="1174207"/>
  </r>
  <r>
    <x v="2"/>
    <n v="1687573"/>
  </r>
  <r>
    <x v="3"/>
    <n v="1287966"/>
  </r>
  <r>
    <x v="3"/>
    <n v="760553"/>
  </r>
  <r>
    <x v="3"/>
    <n v="1175444"/>
  </r>
  <r>
    <x v="3"/>
    <n v="962680"/>
  </r>
  <r>
    <x v="3"/>
    <n v="510116"/>
  </r>
  <r>
    <x v="3"/>
    <n v="959071"/>
  </r>
  <r>
    <x v="3"/>
    <n v="901400"/>
  </r>
  <r>
    <x v="3"/>
    <n v="1610342"/>
  </r>
  <r>
    <x v="4"/>
    <n v="1703861"/>
  </r>
  <r>
    <x v="4"/>
    <n v="999248"/>
  </r>
  <r>
    <x v="4"/>
    <n v="1191129"/>
  </r>
  <r>
    <x v="4"/>
    <n v="1004863"/>
  </r>
  <r>
    <x v="4"/>
    <n v="1446443"/>
  </r>
  <r>
    <x v="4"/>
    <n v="1643944"/>
  </r>
  <r>
    <x v="4"/>
    <n v="1289010"/>
  </r>
  <r>
    <x v="4"/>
    <n v="1471914"/>
  </r>
  <r>
    <x v="5"/>
    <n v="1672258"/>
  </r>
  <r>
    <x v="5"/>
    <n v="561583"/>
  </r>
  <r>
    <x v="5"/>
    <n v="1846384"/>
  </r>
  <r>
    <x v="5"/>
    <n v="1170535"/>
  </r>
  <r>
    <x v="5"/>
    <n v="658028"/>
  </r>
  <r>
    <x v="5"/>
    <n v="566624"/>
  </r>
  <r>
    <x v="5"/>
    <n v="1014065"/>
  </r>
  <r>
    <x v="5"/>
    <n v="1320600"/>
  </r>
  <r>
    <x v="6"/>
    <n v="1343748"/>
  </r>
  <r>
    <x v="6"/>
    <n v="1765611"/>
  </r>
  <r>
    <x v="6"/>
    <n v="1192711"/>
  </r>
  <r>
    <x v="6"/>
    <n v="1321446"/>
  </r>
  <r>
    <x v="6"/>
    <n v="787481"/>
  </r>
  <r>
    <x v="6"/>
    <n v="1666207"/>
  </r>
  <r>
    <x v="6"/>
    <n v="1488068"/>
  </r>
  <r>
    <x v="6"/>
    <n v="1470572"/>
  </r>
  <r>
    <x v="7"/>
    <n v="873314"/>
  </r>
  <r>
    <x v="7"/>
    <n v="642094"/>
  </r>
  <r>
    <x v="7"/>
    <n v="1052108"/>
  </r>
  <r>
    <x v="7"/>
    <n v="808675"/>
  </r>
  <r>
    <x v="7"/>
    <n v="1739279"/>
  </r>
  <r>
    <x v="7"/>
    <n v="843598"/>
  </r>
  <r>
    <x v="7"/>
    <n v="621815"/>
  </r>
  <r>
    <x v="7"/>
    <n v="1350489"/>
  </r>
  <r>
    <x v="8"/>
    <n v="1819707"/>
  </r>
  <r>
    <x v="8"/>
    <n v="1454546"/>
  </r>
  <r>
    <x v="8"/>
    <n v="811079"/>
  </r>
  <r>
    <x v="8"/>
    <n v="1039653"/>
  </r>
  <r>
    <x v="8"/>
    <n v="1247090"/>
  </r>
  <r>
    <x v="8"/>
    <n v="1400639"/>
  </r>
  <r>
    <x v="8"/>
    <n v="1977090"/>
  </r>
  <r>
    <x v="8"/>
    <n v="858747"/>
  </r>
  <r>
    <x v="9"/>
    <n v="1208161"/>
  </r>
  <r>
    <x v="9"/>
    <n v="1067944"/>
  </r>
  <r>
    <x v="9"/>
    <n v="1285503"/>
  </r>
  <r>
    <x v="9"/>
    <n v="644757"/>
  </r>
  <r>
    <x v="9"/>
    <n v="2169138"/>
  </r>
  <r>
    <x v="9"/>
    <n v="2186223"/>
  </r>
  <r>
    <x v="9"/>
    <n v="973775"/>
  </r>
  <r>
    <x v="9"/>
    <n v="1221719"/>
  </r>
  <r>
    <x v="10"/>
    <n v="1365036"/>
  </r>
  <r>
    <x v="10"/>
    <n v="756221"/>
  </r>
  <r>
    <x v="10"/>
    <n v="783776"/>
  </r>
  <r>
    <x v="10"/>
    <n v="1633185"/>
  </r>
  <r>
    <x v="10"/>
    <n v="1463997"/>
  </r>
  <r>
    <x v="10"/>
    <n v="1950966"/>
  </r>
  <r>
    <x v="10"/>
    <n v="673122"/>
  </r>
  <r>
    <x v="10"/>
    <n v="1453402"/>
  </r>
  <r>
    <x v="11"/>
    <n v="950241"/>
  </r>
  <r>
    <x v="11"/>
    <n v="1990033"/>
  </r>
  <r>
    <x v="11"/>
    <n v="1372089"/>
  </r>
  <r>
    <x v="11"/>
    <n v="1580579"/>
  </r>
  <r>
    <x v="11"/>
    <n v="1600167"/>
  </r>
  <r>
    <x v="11"/>
    <n v="826078"/>
  </r>
  <r>
    <x v="11"/>
    <n v="2297422"/>
  </r>
  <r>
    <x v="11"/>
    <n v="1364225"/>
  </r>
  <r>
    <x v="12"/>
    <n v="2201746"/>
  </r>
  <r>
    <x v="12"/>
    <n v="1171905"/>
  </r>
  <r>
    <x v="12"/>
    <n v="1840544"/>
  </r>
  <r>
    <x v="12"/>
    <n v="889461"/>
  </r>
  <r>
    <x v="12"/>
    <n v="816540"/>
  </r>
  <r>
    <x v="12"/>
    <n v="1724484"/>
  </r>
  <r>
    <x v="12"/>
    <n v="1874309"/>
  </r>
  <r>
    <x v="12"/>
    <n v="1540341"/>
  </r>
  <r>
    <x v="13"/>
    <n v="2190551"/>
  </r>
  <r>
    <x v="13"/>
    <n v="1826904"/>
  </r>
  <r>
    <x v="13"/>
    <n v="809871"/>
  </r>
  <r>
    <x v="13"/>
    <n v="922514"/>
  </r>
  <r>
    <x v="13"/>
    <n v="1204312"/>
  </r>
  <r>
    <x v="13"/>
    <n v="1043125"/>
  </r>
  <r>
    <x v="13"/>
    <n v="981610"/>
  </r>
  <r>
    <x v="13"/>
    <n v="981787"/>
  </r>
  <r>
    <x v="14"/>
    <n v="821711"/>
  </r>
  <r>
    <x v="14"/>
    <n v="1598859"/>
  </r>
  <r>
    <x v="14"/>
    <n v="1325368"/>
  </r>
  <r>
    <x v="14"/>
    <n v="2253259"/>
  </r>
  <r>
    <x v="14"/>
    <n v="1919347"/>
  </r>
  <r>
    <x v="14"/>
    <n v="774663"/>
  </r>
  <r>
    <x v="14"/>
    <n v="2069565"/>
  </r>
  <r>
    <x v="14"/>
    <n v="927055"/>
  </r>
  <r>
    <x v="15"/>
    <n v="1407078"/>
  </r>
  <r>
    <x v="15"/>
    <n v="1631558"/>
  </r>
  <r>
    <x v="15"/>
    <n v="749691"/>
  </r>
  <r>
    <x v="15"/>
    <n v="1233334"/>
  </r>
  <r>
    <x v="15"/>
    <n v="2136959"/>
  </r>
  <r>
    <x v="15"/>
    <n v="1297408"/>
  </r>
  <r>
    <x v="15"/>
    <n v="2325318"/>
  </r>
  <r>
    <x v="15"/>
    <n v="1387644"/>
  </r>
  <r>
    <x v="16"/>
    <n v="1112336"/>
  </r>
  <r>
    <x v="16"/>
    <n v="1709643"/>
  </r>
  <r>
    <x v="16"/>
    <n v="1129956"/>
  </r>
  <r>
    <x v="16"/>
    <n v="2113423"/>
  </r>
  <r>
    <x v="16"/>
    <n v="901389"/>
  </r>
  <r>
    <x v="16"/>
    <n v="2138566"/>
  </r>
  <r>
    <x v="16"/>
    <n v="1720958"/>
  </r>
  <r>
    <x v="16"/>
    <n v="855159"/>
  </r>
  <r>
    <x v="17"/>
    <n v="834049"/>
  </r>
  <r>
    <x v="17"/>
    <n v="2333607"/>
  </r>
  <r>
    <x v="17"/>
    <n v="2138646"/>
  </r>
  <r>
    <x v="17"/>
    <n v="1092352"/>
  </r>
  <r>
    <x v="17"/>
    <n v="1983776"/>
  </r>
  <r>
    <x v="17"/>
    <n v="2122932"/>
  </r>
  <r>
    <x v="17"/>
    <n v="2119121"/>
  </r>
  <r>
    <x v="17"/>
    <n v="1188342"/>
  </r>
  <r>
    <x v="18"/>
    <n v="1359553"/>
  </r>
  <r>
    <x v="18"/>
    <n v="2102880"/>
  </r>
  <r>
    <x v="18"/>
    <n v="2046175"/>
  </r>
  <r>
    <x v="18"/>
    <n v="1149939"/>
  </r>
  <r>
    <x v="18"/>
    <n v="2265518"/>
  </r>
  <r>
    <x v="18"/>
    <n v="1461608"/>
  </r>
  <r>
    <x v="18"/>
    <n v="3665414"/>
  </r>
  <r>
    <x v="18"/>
    <n v="2586178"/>
  </r>
  <r>
    <x v="19"/>
    <n v="4148776"/>
  </r>
  <r>
    <x v="19"/>
    <n v="3170384"/>
  </r>
  <r>
    <x v="19"/>
    <n v="1486392"/>
  </r>
  <r>
    <x v="19"/>
    <n v="2645929"/>
  </r>
  <r>
    <x v="19"/>
    <n v="2357205"/>
  </r>
  <r>
    <x v="19"/>
    <n v="4248489"/>
  </r>
  <r>
    <x v="19"/>
    <n v="3259108"/>
  </r>
  <r>
    <x v="19"/>
    <n v="3429049"/>
  </r>
  <r>
    <x v="20"/>
    <n v="1374780"/>
  </r>
  <r>
    <x v="20"/>
    <n v="1480219"/>
  </r>
  <r>
    <x v="20"/>
    <n v="4210073"/>
  </r>
  <r>
    <x v="20"/>
    <n v="3906684"/>
  </r>
  <r>
    <x v="20"/>
    <n v="4435204"/>
  </r>
  <r>
    <x v="20"/>
    <n v="2844803"/>
  </r>
  <r>
    <x v="20"/>
    <n v="3964172"/>
  </r>
  <r>
    <x v="20"/>
    <n v="3708763"/>
  </r>
  <r>
    <x v="21"/>
    <n v="2206089"/>
  </r>
  <r>
    <x v="21"/>
    <n v="2840588"/>
  </r>
  <r>
    <x v="21"/>
    <n v="4265339"/>
  </r>
  <r>
    <x v="21"/>
    <n v="1443923"/>
  </r>
  <r>
    <x v="21"/>
    <n v="2376869"/>
  </r>
  <r>
    <x v="21"/>
    <n v="2770035"/>
  </r>
  <r>
    <x v="21"/>
    <n v="2699559"/>
  </r>
  <r>
    <x v="21"/>
    <n v="2334537"/>
  </r>
  <r>
    <x v="22"/>
    <n v="3408982"/>
  </r>
  <r>
    <x v="22"/>
    <n v="3356100"/>
  </r>
  <r>
    <x v="22"/>
    <n v="1631120"/>
  </r>
  <r>
    <x v="22"/>
    <n v="4226516"/>
  </r>
  <r>
    <x v="22"/>
    <n v="4314667"/>
  </r>
  <r>
    <x v="22"/>
    <n v="3755932"/>
  </r>
  <r>
    <x v="22"/>
    <n v="4531355"/>
  </r>
  <r>
    <x v="22"/>
    <n v="2494728"/>
  </r>
  <r>
    <x v="23"/>
    <n v="1525578"/>
  </r>
  <r>
    <x v="23"/>
    <n v="1364051"/>
  </r>
  <r>
    <x v="23"/>
    <n v="3594189"/>
  </r>
  <r>
    <x v="23"/>
    <n v="2658247"/>
  </r>
  <r>
    <x v="23"/>
    <n v="2563489"/>
  </r>
  <r>
    <x v="23"/>
    <n v="3542455"/>
  </r>
  <r>
    <x v="23"/>
    <n v="4407464"/>
  </r>
  <r>
    <x v="23"/>
    <n v="1958635"/>
  </r>
  <r>
    <x v="24"/>
    <n v="2624343"/>
  </r>
  <r>
    <x v="24"/>
    <n v="3896348"/>
  </r>
  <r>
    <x v="24"/>
    <n v="3111783"/>
  </r>
  <r>
    <x v="24"/>
    <n v="1431228"/>
  </r>
  <r>
    <x v="24"/>
    <n v="4705569"/>
  </r>
  <r>
    <x v="24"/>
    <n v="4116156"/>
  </r>
  <r>
    <x v="24"/>
    <n v="2114613"/>
  </r>
  <r>
    <x v="24"/>
    <n v="1514879"/>
  </r>
  <r>
    <x v="25"/>
    <n v="4099757"/>
  </r>
  <r>
    <x v="25"/>
    <n v="3961294"/>
  </r>
  <r>
    <x v="25"/>
    <n v="1845295"/>
  </r>
  <r>
    <x v="25"/>
    <n v="1944260"/>
  </r>
  <r>
    <x v="25"/>
    <n v="1383102"/>
  </r>
  <r>
    <x v="25"/>
    <n v="1907207"/>
  </r>
  <r>
    <x v="25"/>
    <n v="3098247"/>
  </r>
  <r>
    <x v="25"/>
    <n v="2726603"/>
  </r>
  <r>
    <x v="26"/>
    <n v="4775442"/>
  </r>
  <r>
    <x v="26"/>
    <n v="1342913"/>
  </r>
  <r>
    <x v="26"/>
    <n v="1795302"/>
  </r>
  <r>
    <x v="26"/>
    <n v="3665299"/>
  </r>
  <r>
    <x v="26"/>
    <n v="4020294"/>
  </r>
  <r>
    <x v="26"/>
    <n v="4167278"/>
  </r>
  <r>
    <x v="26"/>
    <n v="1859088"/>
  </r>
  <r>
    <x v="26"/>
    <n v="3728352"/>
  </r>
  <r>
    <x v="27"/>
    <n v="3394853"/>
  </r>
  <r>
    <x v="27"/>
    <n v="3145425"/>
  </r>
  <r>
    <x v="27"/>
    <n v="1780079"/>
  </r>
  <r>
    <x v="27"/>
    <n v="3008161"/>
  </r>
  <r>
    <x v="27"/>
    <n v="4110403"/>
  </r>
  <r>
    <x v="27"/>
    <n v="1813021"/>
  </r>
  <r>
    <x v="27"/>
    <n v="3587401"/>
  </r>
  <r>
    <x v="27"/>
    <n v="4575523"/>
  </r>
  <r>
    <x v="28"/>
    <n v="3750349"/>
  </r>
  <r>
    <x v="28"/>
    <n v="1595028"/>
  </r>
  <r>
    <x v="28"/>
    <n v="1983843"/>
  </r>
  <r>
    <x v="28"/>
    <n v="2047083"/>
  </r>
  <r>
    <x v="28"/>
    <n v="3321791"/>
  </r>
  <r>
    <x v="28"/>
    <n v="1362703"/>
  </r>
  <r>
    <x v="28"/>
    <n v="3669652"/>
  </r>
  <r>
    <x v="28"/>
    <n v="2039127"/>
  </r>
  <r>
    <x v="29"/>
    <n v="3818009"/>
  </r>
  <r>
    <x v="29"/>
    <n v="2624666"/>
  </r>
  <r>
    <x v="29"/>
    <n v="1804007"/>
  </r>
  <r>
    <x v="29"/>
    <n v="1684009"/>
  </r>
  <r>
    <x v="29"/>
    <n v="3047676"/>
  </r>
  <r>
    <x v="29"/>
    <n v="1658464"/>
  </r>
  <r>
    <x v="29"/>
    <n v="3452937"/>
  </r>
  <r>
    <x v="29"/>
    <n v="2945486"/>
  </r>
  <r>
    <x v="30"/>
    <n v="1492901"/>
  </r>
  <r>
    <x v="30"/>
    <n v="4104267"/>
  </r>
  <r>
    <x v="30"/>
    <n v="2963868"/>
  </r>
  <r>
    <x v="30"/>
    <n v="1604411"/>
  </r>
  <r>
    <x v="30"/>
    <n v="4488261"/>
  </r>
  <r>
    <x v="30"/>
    <n v="4368853"/>
  </r>
  <r>
    <x v="30"/>
    <n v="1792491"/>
  </r>
  <r>
    <x v="30"/>
    <n v="2124678"/>
  </r>
  <r>
    <x v="31"/>
    <n v="2053812"/>
  </r>
  <r>
    <x v="31"/>
    <n v="2692794"/>
  </r>
  <r>
    <x v="31"/>
    <n v="2492592"/>
  </r>
  <r>
    <x v="31"/>
    <n v="3894557"/>
  </r>
  <r>
    <x v="31"/>
    <n v="4043993"/>
  </r>
  <r>
    <x v="31"/>
    <n v="3932172"/>
  </r>
  <r>
    <x v="31"/>
    <n v="1789635"/>
  </r>
  <r>
    <x v="31"/>
    <n v="4062232"/>
  </r>
  <r>
    <x v="32"/>
    <n v="2942833"/>
  </r>
  <r>
    <x v="32"/>
    <n v="3635003"/>
  </r>
  <r>
    <x v="32"/>
    <n v="4933864"/>
  </r>
  <r>
    <x v="32"/>
    <n v="2600048"/>
  </r>
  <r>
    <x v="32"/>
    <n v="2437471"/>
  </r>
  <r>
    <x v="32"/>
    <n v="4399680"/>
  </r>
  <r>
    <x v="32"/>
    <n v="2989939"/>
  </r>
  <r>
    <x v="32"/>
    <n v="3928718"/>
  </r>
  <r>
    <x v="33"/>
    <n v="3981406"/>
  </r>
  <r>
    <x v="33"/>
    <n v="3266996"/>
  </r>
  <r>
    <x v="33"/>
    <n v="5134037"/>
  </r>
  <r>
    <x v="33"/>
    <n v="4984504"/>
  </r>
  <r>
    <x v="33"/>
    <n v="2733934"/>
  </r>
  <r>
    <x v="33"/>
    <n v="2466031"/>
  </r>
  <r>
    <x v="33"/>
    <n v="3048057"/>
  </r>
  <r>
    <x v="33"/>
    <n v="1476931"/>
  </r>
  <r>
    <x v="34"/>
    <n v="1668500"/>
  </r>
  <r>
    <x v="34"/>
    <n v="4472462"/>
  </r>
  <r>
    <x v="34"/>
    <n v="4936496"/>
  </r>
  <r>
    <x v="34"/>
    <n v="1889287"/>
  </r>
  <r>
    <x v="34"/>
    <n v="4570709"/>
  </r>
  <r>
    <x v="34"/>
    <n v="3147275"/>
  </r>
  <r>
    <x v="34"/>
    <n v="3748950"/>
  </r>
  <r>
    <x v="34"/>
    <n v="3916671"/>
  </r>
  <r>
    <x v="35"/>
    <n v="1961802"/>
  </r>
  <r>
    <x v="35"/>
    <n v="3225112"/>
  </r>
  <r>
    <x v="35"/>
    <n v="1624702"/>
  </r>
  <r>
    <x v="35"/>
    <n v="5187606"/>
  </r>
  <r>
    <x v="35"/>
    <n v="4574245"/>
  </r>
  <r>
    <x v="35"/>
    <n v="5061692"/>
  </r>
  <r>
    <x v="35"/>
    <n v="2190435"/>
  </r>
  <r>
    <x v="35"/>
    <n v="1994622"/>
  </r>
  <r>
    <x v="36"/>
    <n v="1978592"/>
  </r>
  <r>
    <x v="36"/>
    <n v="2536481"/>
  </r>
  <r>
    <x v="36"/>
    <n v="2570041"/>
  </r>
  <r>
    <x v="36"/>
    <n v="2575337"/>
  </r>
  <r>
    <x v="36"/>
    <n v="2285478"/>
  </r>
  <r>
    <x v="36"/>
    <n v="2492060"/>
  </r>
  <r>
    <x v="36"/>
    <n v="1966157"/>
  </r>
  <r>
    <x v="36"/>
    <n v="4749842"/>
  </r>
  <r>
    <x v="37"/>
    <n v="3901112"/>
  </r>
  <r>
    <x v="37"/>
    <n v="4879997"/>
  </r>
  <r>
    <x v="37"/>
    <n v="4938414"/>
  </r>
  <r>
    <x v="37"/>
    <n v="4799926"/>
  </r>
  <r>
    <x v="37"/>
    <n v="2384049"/>
  </r>
  <r>
    <x v="37"/>
    <n v="2677502"/>
  </r>
  <r>
    <x v="37"/>
    <n v="2758320"/>
  </r>
  <r>
    <x v="37"/>
    <n v="1624848"/>
  </r>
  <r>
    <x v="38"/>
    <n v="1274973"/>
  </r>
  <r>
    <x v="38"/>
    <n v="1158772"/>
  </r>
  <r>
    <x v="38"/>
    <n v="2945572"/>
  </r>
  <r>
    <x v="38"/>
    <n v="3257004"/>
  </r>
  <r>
    <x v="38"/>
    <n v="3137386"/>
  </r>
  <r>
    <x v="38"/>
    <n v="3602792"/>
  </r>
  <r>
    <x v="38"/>
    <n v="2652639"/>
  </r>
  <r>
    <x v="38"/>
    <n v="1149039"/>
  </r>
  <r>
    <x v="39"/>
    <n v="2241146"/>
  </r>
  <r>
    <x v="39"/>
    <n v="2476067"/>
  </r>
  <r>
    <x v="39"/>
    <n v="1892301"/>
  </r>
  <r>
    <x v="39"/>
    <n v="1498625"/>
  </r>
  <r>
    <x v="39"/>
    <n v="2553433"/>
  </r>
  <r>
    <x v="39"/>
    <n v="2857808"/>
  </r>
  <r>
    <x v="39"/>
    <n v="1936629"/>
  </r>
  <r>
    <x v="39"/>
    <n v="1708841"/>
  </r>
  <r>
    <x v="40"/>
    <n v="1631411"/>
  </r>
  <r>
    <x v="40"/>
    <n v="2379154"/>
  </r>
  <r>
    <x v="40"/>
    <n v="3213327"/>
  </r>
  <r>
    <x v="40"/>
    <n v="3703219"/>
  </r>
  <r>
    <x v="40"/>
    <n v="3112623"/>
  </r>
  <r>
    <x v="40"/>
    <n v="2732487"/>
  </r>
  <r>
    <x v="40"/>
    <n v="1759130"/>
  </r>
  <r>
    <x v="40"/>
    <n v="2504582"/>
  </r>
  <r>
    <x v="41"/>
    <n v="1750418"/>
  </r>
  <r>
    <x v="41"/>
    <n v="2697855"/>
  </r>
  <r>
    <x v="41"/>
    <n v="1442048"/>
  </r>
  <r>
    <x v="41"/>
    <n v="2690519"/>
  </r>
  <r>
    <x v="41"/>
    <n v="2121507"/>
  </r>
  <r>
    <x v="41"/>
    <n v="1758472"/>
  </r>
  <r>
    <x v="41"/>
    <n v="2044231"/>
  </r>
  <r>
    <x v="41"/>
    <n v="1869717"/>
  </r>
  <r>
    <x v="42"/>
    <n v="3794371"/>
  </r>
  <r>
    <x v="42"/>
    <n v="2111570"/>
  </r>
  <r>
    <x v="42"/>
    <n v="2852114"/>
  </r>
  <r>
    <x v="42"/>
    <n v="2122647"/>
  </r>
  <r>
    <x v="42"/>
    <n v="1904383"/>
  </r>
  <r>
    <x v="42"/>
    <n v="2073645"/>
  </r>
  <r>
    <x v="42"/>
    <n v="2312641"/>
  </r>
  <r>
    <x v="42"/>
    <n v="3440882"/>
  </r>
  <r>
    <x v="43"/>
    <n v="3833747"/>
  </r>
  <r>
    <x v="43"/>
    <n v="3586774"/>
  </r>
  <r>
    <x v="43"/>
    <n v="2171365"/>
  </r>
  <r>
    <x v="43"/>
    <n v="2532424"/>
  </r>
  <r>
    <x v="43"/>
    <n v="3090136"/>
  </r>
  <r>
    <x v="43"/>
    <n v="1521563"/>
  </r>
  <r>
    <x v="43"/>
    <n v="1908416"/>
  </r>
  <r>
    <x v="43"/>
    <n v="3255525"/>
  </r>
  <r>
    <x v="44"/>
    <n v="3315074"/>
  </r>
  <r>
    <x v="44"/>
    <n v="2169766"/>
  </r>
  <r>
    <x v="44"/>
    <n v="4119674"/>
  </r>
  <r>
    <x v="44"/>
    <n v="1463771"/>
  </r>
  <r>
    <x v="44"/>
    <n v="2170068"/>
  </r>
  <r>
    <x v="44"/>
    <n v="3029960"/>
  </r>
  <r>
    <x v="44"/>
    <n v="2554916"/>
  </r>
  <r>
    <x v="44"/>
    <n v="2275529"/>
  </r>
  <r>
    <x v="45"/>
    <n v="3948361"/>
  </r>
  <r>
    <x v="45"/>
    <n v="1908735"/>
  </r>
  <r>
    <x v="45"/>
    <n v="4126860"/>
  </r>
  <r>
    <x v="45"/>
    <n v="1533169"/>
  </r>
  <r>
    <x v="45"/>
    <n v="2938954"/>
  </r>
  <r>
    <x v="45"/>
    <n v="2899740"/>
  </r>
  <r>
    <x v="45"/>
    <n v="3130731"/>
  </r>
  <r>
    <x v="45"/>
    <n v="3917507"/>
  </r>
  <r>
    <x v="46"/>
    <n v="2123316"/>
  </r>
  <r>
    <x v="46"/>
    <n v="1900586"/>
  </r>
  <r>
    <x v="46"/>
    <n v="3403681"/>
  </r>
  <r>
    <x v="46"/>
    <n v="3640612"/>
  </r>
  <r>
    <x v="46"/>
    <n v="4017796"/>
  </r>
  <r>
    <x v="46"/>
    <n v="1581224"/>
  </r>
  <r>
    <x v="46"/>
    <n v="1517802"/>
  </r>
  <r>
    <x v="46"/>
    <n v="4199417"/>
  </r>
  <r>
    <x v="47"/>
    <n v="2694429"/>
  </r>
  <r>
    <x v="47"/>
    <n v="4228717"/>
  </r>
  <r>
    <x v="47"/>
    <n v="3915029"/>
  </r>
  <r>
    <x v="47"/>
    <n v="2112981"/>
  </r>
  <r>
    <x v="47"/>
    <n v="3494329"/>
  </r>
  <r>
    <x v="47"/>
    <n v="3477774"/>
  </r>
  <r>
    <x v="47"/>
    <n v="3772564"/>
  </r>
  <r>
    <x v="47"/>
    <n v="3055624"/>
  </r>
  <r>
    <x v="48"/>
    <n v="1969985"/>
  </r>
  <r>
    <x v="48"/>
    <n v="1740968"/>
  </r>
  <r>
    <x v="48"/>
    <n v="4311204"/>
  </r>
  <r>
    <x v="48"/>
    <n v="1553976"/>
  </r>
  <r>
    <x v="48"/>
    <n v="2299677"/>
  </r>
  <r>
    <x v="48"/>
    <n v="1393014"/>
  </r>
  <r>
    <x v="48"/>
    <n v="1794424"/>
  </r>
  <r>
    <x v="48"/>
    <n v="4097164"/>
  </r>
  <r>
    <x v="49"/>
    <n v="4285548"/>
  </r>
  <r>
    <x v="49"/>
    <n v="2103756"/>
  </r>
  <r>
    <x v="49"/>
    <n v="3869859"/>
  </r>
  <r>
    <x v="49"/>
    <n v="3963004"/>
  </r>
  <r>
    <x v="49"/>
    <n v="1791628"/>
  </r>
  <r>
    <x v="49"/>
    <n v="3451357"/>
  </r>
  <r>
    <x v="49"/>
    <n v="3526590"/>
  </r>
  <r>
    <x v="49"/>
    <n v="3689921"/>
  </r>
  <r>
    <x v="50"/>
    <n v="3879678"/>
  </r>
  <r>
    <x v="50"/>
    <n v="4206186"/>
  </r>
  <r>
    <x v="50"/>
    <n v="2651028"/>
  </r>
  <r>
    <x v="50"/>
    <n v="2728805"/>
  </r>
  <r>
    <x v="50"/>
    <n v="3873398"/>
  </r>
  <r>
    <x v="50"/>
    <n v="3777415"/>
  </r>
  <r>
    <x v="50"/>
    <n v="2775801"/>
  </r>
  <r>
    <x v="50"/>
    <n v="4018915"/>
  </r>
  <r>
    <x v="51"/>
    <n v="2426271"/>
  </r>
  <r>
    <x v="51"/>
    <n v="3106087"/>
  </r>
  <r>
    <x v="51"/>
    <n v="1980864"/>
  </r>
  <r>
    <x v="51"/>
    <n v="4061387"/>
  </r>
  <r>
    <x v="51"/>
    <n v="2477469"/>
  </r>
  <r>
    <x v="51"/>
    <n v="4361440"/>
  </r>
  <r>
    <x v="51"/>
    <n v="3530316"/>
  </r>
  <r>
    <x v="51"/>
    <n v="4003814"/>
  </r>
  <r>
    <x v="52"/>
    <n v="1390988"/>
  </r>
  <r>
    <x v="52"/>
    <n v="4177535"/>
  </r>
  <r>
    <x v="52"/>
    <n v="3690795"/>
  </r>
  <r>
    <x v="52"/>
    <n v="4207854"/>
  </r>
  <r>
    <x v="52"/>
    <n v="2252630"/>
  </r>
  <r>
    <x v="52"/>
    <n v="3254677"/>
  </r>
  <r>
    <x v="52"/>
    <n v="4483496"/>
  </r>
  <r>
    <x v="52"/>
    <n v="1803252"/>
  </r>
  <r>
    <x v="53"/>
    <n v="3665744"/>
  </r>
  <r>
    <x v="53"/>
    <n v="2260576"/>
  </r>
  <r>
    <x v="53"/>
    <n v="2925787"/>
  </r>
  <r>
    <x v="53"/>
    <n v="4805888"/>
  </r>
  <r>
    <x v="53"/>
    <n v="4553237"/>
  </r>
  <r>
    <x v="53"/>
    <n v="3660048"/>
  </r>
  <r>
    <x v="53"/>
    <n v="4164833"/>
  </r>
  <r>
    <x v="53"/>
    <n v="2298167"/>
  </r>
  <r>
    <x v="54"/>
    <n v="2997618"/>
  </r>
  <r>
    <x v="54"/>
    <n v="2221922"/>
  </r>
  <r>
    <x v="54"/>
    <n v="2096695"/>
  </r>
  <r>
    <x v="54"/>
    <n v="1563618"/>
  </r>
  <r>
    <x v="54"/>
    <n v="3113804"/>
  </r>
  <r>
    <x v="54"/>
    <n v="3264440"/>
  </r>
  <r>
    <x v="54"/>
    <n v="3486743"/>
  </r>
  <r>
    <x v="54"/>
    <n v="2494811"/>
  </r>
  <r>
    <x v="55"/>
    <n v="3433314"/>
  </r>
  <r>
    <x v="55"/>
    <n v="3559098"/>
  </r>
  <r>
    <x v="55"/>
    <n v="2958622"/>
  </r>
  <r>
    <x v="55"/>
    <n v="2362456"/>
  </r>
  <r>
    <x v="55"/>
    <n v="4798246"/>
  </r>
  <r>
    <x v="55"/>
    <n v="4173307"/>
  </r>
  <r>
    <x v="55"/>
    <n v="4137578"/>
  </r>
  <r>
    <x v="55"/>
    <n v="1535360"/>
  </r>
  <r>
    <x v="56"/>
    <n v="2107599"/>
  </r>
  <r>
    <x v="56"/>
    <n v="2733199"/>
  </r>
  <r>
    <x v="56"/>
    <n v="2095847"/>
  </r>
  <r>
    <x v="56"/>
    <n v="3594461"/>
  </r>
  <r>
    <x v="56"/>
    <n v="4228367"/>
  </r>
  <r>
    <x v="56"/>
    <n v="1674611"/>
  </r>
  <r>
    <x v="56"/>
    <n v="2480610"/>
  </r>
  <r>
    <x v="56"/>
    <n v="1607936"/>
  </r>
  <r>
    <x v="57"/>
    <n v="2718956"/>
  </r>
  <r>
    <x v="57"/>
    <n v="2486925"/>
  </r>
  <r>
    <x v="57"/>
    <n v="2715732"/>
  </r>
  <r>
    <x v="57"/>
    <n v="2802188"/>
  </r>
  <r>
    <x v="57"/>
    <n v="2465034"/>
  </r>
  <r>
    <x v="57"/>
    <n v="2178893"/>
  </r>
  <r>
    <x v="57"/>
    <n v="4369325"/>
  </r>
  <r>
    <x v="57"/>
    <n v="1606249"/>
  </r>
  <r>
    <x v="58"/>
    <n v="3799316"/>
  </r>
  <r>
    <x v="58"/>
    <n v="1368312"/>
  </r>
  <r>
    <x v="58"/>
    <n v="4199261"/>
  </r>
  <r>
    <x v="58"/>
    <n v="3805165"/>
  </r>
  <r>
    <x v="58"/>
    <n v="2559149"/>
  </r>
  <r>
    <x v="58"/>
    <n v="1836055"/>
  </r>
  <r>
    <x v="58"/>
    <n v="3242492"/>
  </r>
  <r>
    <x v="58"/>
    <n v="2998179"/>
  </r>
  <r>
    <x v="59"/>
    <n v="3673404"/>
  </r>
  <r>
    <x v="59"/>
    <n v="2178559"/>
  </r>
  <r>
    <x v="59"/>
    <n v="1181656"/>
  </r>
  <r>
    <x v="59"/>
    <n v="1557490"/>
  </r>
  <r>
    <x v="59"/>
    <n v="3630836"/>
  </r>
  <r>
    <x v="59"/>
    <n v="2372761"/>
  </r>
  <r>
    <x v="59"/>
    <n v="2991779"/>
  </r>
  <r>
    <x v="59"/>
    <n v="1507321"/>
  </r>
  <r>
    <x v="60"/>
    <n v="2025900"/>
  </r>
  <r>
    <x v="60"/>
    <n v="3571734"/>
  </r>
  <r>
    <x v="60"/>
    <n v="2104028"/>
  </r>
  <r>
    <x v="60"/>
    <n v="1603761"/>
  </r>
  <r>
    <x v="60"/>
    <n v="2653835"/>
  </r>
  <r>
    <x v="60"/>
    <n v="3535339"/>
  </r>
  <r>
    <x v="60"/>
    <n v="2927054"/>
  </r>
  <r>
    <x v="60"/>
    <n v="3095516"/>
  </r>
  <r>
    <x v="61"/>
    <n v="2813029"/>
  </r>
  <r>
    <x v="61"/>
    <n v="4524260"/>
  </r>
  <r>
    <x v="61"/>
    <n v="3611986"/>
  </r>
  <r>
    <x v="61"/>
    <n v="2993218"/>
  </r>
  <r>
    <x v="61"/>
    <n v="4001138"/>
  </r>
  <r>
    <x v="61"/>
    <n v="2616810"/>
  </r>
  <r>
    <x v="61"/>
    <n v="3632125"/>
  </r>
  <r>
    <x v="61"/>
    <n v="2026175"/>
  </r>
  <r>
    <x v="62"/>
    <n v="3218610"/>
  </r>
  <r>
    <x v="62"/>
    <n v="1867527"/>
  </r>
  <r>
    <x v="62"/>
    <n v="1499078"/>
  </r>
  <r>
    <x v="62"/>
    <n v="2201246"/>
  </r>
  <r>
    <x v="62"/>
    <n v="2220124"/>
  </r>
  <r>
    <x v="62"/>
    <n v="3410134"/>
  </r>
  <r>
    <x v="62"/>
    <n v="4093176"/>
  </r>
  <r>
    <x v="62"/>
    <n v="4621130"/>
  </r>
  <r>
    <x v="63"/>
    <n v="2232456"/>
  </r>
  <r>
    <x v="63"/>
    <n v="3626538"/>
  </r>
  <r>
    <x v="63"/>
    <n v="3996166"/>
  </r>
  <r>
    <x v="63"/>
    <n v="2325347"/>
  </r>
  <r>
    <x v="63"/>
    <n v="3621780"/>
  </r>
  <r>
    <x v="63"/>
    <n v="3363776"/>
  </r>
  <r>
    <x v="63"/>
    <n v="3174017"/>
  </r>
  <r>
    <x v="63"/>
    <n v="2339543"/>
  </r>
  <r>
    <x v="64"/>
    <n v="2524238"/>
  </r>
  <r>
    <x v="64"/>
    <n v="3394275"/>
  </r>
  <r>
    <x v="64"/>
    <n v="2237939"/>
  </r>
  <r>
    <x v="64"/>
    <n v="2367745"/>
  </r>
  <r>
    <x v="64"/>
    <n v="3424860"/>
  </r>
  <r>
    <x v="64"/>
    <n v="2330168"/>
  </r>
  <r>
    <x v="64"/>
    <n v="3709182"/>
  </r>
  <r>
    <x v="64"/>
    <n v="2218877"/>
  </r>
  <r>
    <x v="65"/>
    <n v="1745379"/>
  </r>
  <r>
    <x v="65"/>
    <n v="3984223"/>
  </r>
  <r>
    <x v="65"/>
    <n v="2272394"/>
  </r>
  <r>
    <x v="65"/>
    <n v="4686813"/>
  </r>
  <r>
    <x v="65"/>
    <n v="4046065"/>
  </r>
  <r>
    <x v="65"/>
    <n v="3546506"/>
  </r>
  <r>
    <x v="65"/>
    <n v="1734986"/>
  </r>
  <r>
    <x v="65"/>
    <n v="4140821"/>
  </r>
  <r>
    <x v="66"/>
    <n v="2352347"/>
  </r>
  <r>
    <x v="66"/>
    <n v="2811885"/>
  </r>
  <r>
    <x v="66"/>
    <n v="4464650"/>
  </r>
  <r>
    <x v="66"/>
    <n v="3895766"/>
  </r>
  <r>
    <x v="66"/>
    <n v="2586687"/>
  </r>
  <r>
    <x v="66"/>
    <n v="3920195"/>
  </r>
  <r>
    <x v="66"/>
    <n v="2770612"/>
  </r>
  <r>
    <x v="66"/>
    <n v="3063742"/>
  </r>
  <r>
    <x v="67"/>
    <n v="2774464"/>
  </r>
  <r>
    <x v="67"/>
    <n v="3364571"/>
  </r>
  <r>
    <x v="67"/>
    <n v="2039050"/>
  </r>
  <r>
    <x v="67"/>
    <n v="4580508"/>
  </r>
  <r>
    <x v="67"/>
    <n v="2146873"/>
  </r>
  <r>
    <x v="67"/>
    <n v="4762136"/>
  </r>
  <r>
    <x v="67"/>
    <n v="2353940"/>
  </r>
  <r>
    <x v="67"/>
    <n v="1617062"/>
  </r>
  <r>
    <x v="68"/>
    <n v="1777547"/>
  </r>
  <r>
    <x v="68"/>
    <n v="4751967"/>
  </r>
  <r>
    <x v="68"/>
    <n v="4961333"/>
  </r>
  <r>
    <x v="68"/>
    <n v="5167845"/>
  </r>
  <r>
    <x v="68"/>
    <n v="2697816"/>
  </r>
  <r>
    <x v="68"/>
    <n v="4106897"/>
  </r>
  <r>
    <x v="68"/>
    <n v="2714933"/>
  </r>
  <r>
    <x v="68"/>
    <n v="4739574"/>
  </r>
  <r>
    <x v="69"/>
    <n v="3302401"/>
  </r>
  <r>
    <x v="69"/>
    <n v="4434998"/>
  </r>
  <r>
    <x v="69"/>
    <n v="2031152"/>
  </r>
  <r>
    <x v="69"/>
    <n v="5129605"/>
  </r>
  <r>
    <x v="69"/>
    <n v="4038408"/>
  </r>
  <r>
    <x v="69"/>
    <n v="2792936"/>
  </r>
  <r>
    <x v="69"/>
    <n v="2588012"/>
  </r>
  <r>
    <x v="69"/>
    <n v="5094390"/>
  </r>
  <r>
    <x v="70"/>
    <n v="2281795"/>
  </r>
  <r>
    <x v="70"/>
    <n v="4966583"/>
  </r>
  <r>
    <x v="70"/>
    <n v="2464299"/>
  </r>
  <r>
    <x v="70"/>
    <n v="2651665"/>
  </r>
  <r>
    <x v="70"/>
    <n v="3861853"/>
  </r>
  <r>
    <x v="70"/>
    <n v="1804381"/>
  </r>
  <r>
    <x v="70"/>
    <n v="1447270"/>
  </r>
  <r>
    <x v="70"/>
    <n v="2947428"/>
  </r>
  <r>
    <x v="71"/>
    <n v="3043413"/>
  </r>
  <r>
    <x v="71"/>
    <n v="3275587"/>
  </r>
  <r>
    <x v="71"/>
    <n v="4939314"/>
  </r>
  <r>
    <x v="71"/>
    <n v="4901123"/>
  </r>
  <r>
    <x v="71"/>
    <n v="4621809"/>
  </r>
  <r>
    <x v="71"/>
    <n v="2118947"/>
  </r>
  <r>
    <x v="71"/>
    <n v="3015017"/>
  </r>
  <r>
    <x v="71"/>
    <n v="3158035"/>
  </r>
  <r>
    <x v="72"/>
    <n v="4878269"/>
  </r>
  <r>
    <x v="72"/>
    <n v="1636349"/>
  </r>
  <r>
    <x v="72"/>
    <n v="5069049"/>
  </r>
  <r>
    <x v="72"/>
    <n v="4595294"/>
  </r>
  <r>
    <x v="72"/>
    <n v="2505847"/>
  </r>
  <r>
    <x v="72"/>
    <n v="3434335"/>
  </r>
  <r>
    <x v="72"/>
    <n v="1471462"/>
  </r>
  <r>
    <x v="72"/>
    <n v="2759860"/>
  </r>
  <r>
    <x v="73"/>
    <n v="2851598"/>
  </r>
  <r>
    <x v="73"/>
    <n v="2250896"/>
  </r>
  <r>
    <x v="73"/>
    <n v="4951803"/>
  </r>
  <r>
    <x v="73"/>
    <n v="1849272"/>
  </r>
  <r>
    <x v="73"/>
    <n v="4177507"/>
  </r>
  <r>
    <x v="73"/>
    <n v="2155779"/>
  </r>
  <r>
    <x v="73"/>
    <n v="3483929"/>
  </r>
  <r>
    <x v="73"/>
    <n v="3117980"/>
  </r>
  <r>
    <x v="74"/>
    <n v="5282659"/>
  </r>
  <r>
    <x v="74"/>
    <n v="5207985"/>
  </r>
  <r>
    <x v="74"/>
    <n v="5081753"/>
  </r>
  <r>
    <x v="74"/>
    <n v="5171836"/>
  </r>
  <r>
    <x v="74"/>
    <n v="3892055"/>
  </r>
  <r>
    <x v="74"/>
    <n v="4704383"/>
  </r>
  <r>
    <x v="74"/>
    <n v="2259936"/>
  </r>
  <r>
    <x v="74"/>
    <n v="5201423"/>
  </r>
  <r>
    <x v="75"/>
    <n v="3892474"/>
  </r>
  <r>
    <x v="75"/>
    <n v="4564973"/>
  </r>
  <r>
    <x v="75"/>
    <n v="3795950"/>
  </r>
  <r>
    <x v="75"/>
    <n v="3007711"/>
  </r>
  <r>
    <x v="75"/>
    <n v="2642982"/>
  </r>
  <r>
    <x v="75"/>
    <n v="3553814"/>
  </r>
  <r>
    <x v="75"/>
    <n v="2154220"/>
  </r>
  <r>
    <x v="75"/>
    <n v="3328519"/>
  </r>
  <r>
    <x v="76"/>
    <n v="2444661"/>
  </r>
  <r>
    <x v="76"/>
    <n v="2987071"/>
  </r>
  <r>
    <x v="76"/>
    <n v="2160463"/>
  </r>
  <r>
    <x v="76"/>
    <n v="2160374"/>
  </r>
  <r>
    <x v="76"/>
    <n v="4616179"/>
  </r>
  <r>
    <x v="76"/>
    <n v="2582726"/>
  </r>
  <r>
    <x v="76"/>
    <n v="4131910"/>
  </r>
  <r>
    <x v="76"/>
    <n v="3364905"/>
  </r>
  <r>
    <x v="77"/>
    <n v="2314463"/>
  </r>
  <r>
    <x v="77"/>
    <n v="1455373"/>
  </r>
  <r>
    <x v="77"/>
    <n v="3581077"/>
  </r>
  <r>
    <x v="77"/>
    <n v="4019762"/>
  </r>
  <r>
    <x v="77"/>
    <n v="1618452"/>
  </r>
  <r>
    <x v="77"/>
    <n v="2768721"/>
  </r>
  <r>
    <x v="77"/>
    <n v="3395953"/>
  </r>
  <r>
    <x v="77"/>
    <n v="1578621"/>
  </r>
  <r>
    <x v="78"/>
    <n v="1395456"/>
  </r>
  <r>
    <x v="78"/>
    <n v="3048199"/>
  </r>
  <r>
    <x v="78"/>
    <n v="2705702"/>
  </r>
  <r>
    <x v="78"/>
    <n v="3653924"/>
  </r>
  <r>
    <x v="78"/>
    <n v="1455464"/>
  </r>
  <r>
    <x v="78"/>
    <n v="2274129"/>
  </r>
  <r>
    <x v="78"/>
    <n v="1782753"/>
  </r>
  <r>
    <x v="78"/>
    <n v="4688320"/>
  </r>
  <r>
    <x v="79"/>
    <n v="1675834"/>
  </r>
  <r>
    <x v="79"/>
    <n v="3415543"/>
  </r>
  <r>
    <x v="79"/>
    <n v="1967067"/>
  </r>
  <r>
    <x v="79"/>
    <n v="3940793"/>
  </r>
  <r>
    <x v="79"/>
    <n v="3159629"/>
  </r>
  <r>
    <x v="79"/>
    <n v="4062211"/>
  </r>
  <r>
    <x v="79"/>
    <n v="3605870"/>
  </r>
  <r>
    <x v="79"/>
    <n v="4132050"/>
  </r>
  <r>
    <x v="80"/>
    <n v="4928608"/>
  </r>
  <r>
    <x v="80"/>
    <n v="4198392"/>
  </r>
  <r>
    <x v="80"/>
    <n v="2139449"/>
  </r>
  <r>
    <x v="80"/>
    <n v="2735294"/>
  </r>
  <r>
    <x v="80"/>
    <n v="4409391"/>
  </r>
  <r>
    <x v="80"/>
    <n v="4282980"/>
  </r>
  <r>
    <x v="80"/>
    <n v="3215554"/>
  </r>
  <r>
    <x v="80"/>
    <n v="2362318"/>
  </r>
  <r>
    <x v="81"/>
    <n v="4101734"/>
  </r>
  <r>
    <x v="81"/>
    <n v="2135341"/>
  </r>
  <r>
    <x v="81"/>
    <n v="4109232"/>
  </r>
  <r>
    <x v="81"/>
    <n v="2443767"/>
  </r>
  <r>
    <x v="81"/>
    <n v="2190961"/>
  </r>
  <r>
    <x v="81"/>
    <n v="4787083"/>
  </r>
  <r>
    <x v="81"/>
    <n v="1815053"/>
  </r>
  <r>
    <x v="81"/>
    <n v="4886459"/>
  </r>
  <r>
    <x v="82"/>
    <n v="3991524"/>
  </r>
  <r>
    <x v="82"/>
    <n v="3200091"/>
  </r>
  <r>
    <x v="82"/>
    <n v="2638273"/>
  </r>
  <r>
    <x v="82"/>
    <n v="4811499"/>
  </r>
  <r>
    <x v="82"/>
    <n v="2232546"/>
  </r>
  <r>
    <x v="82"/>
    <n v="3910515"/>
  </r>
  <r>
    <x v="82"/>
    <n v="1862938"/>
  </r>
  <r>
    <x v="82"/>
    <n v="3749287"/>
  </r>
  <r>
    <x v="83"/>
    <n v="2346710"/>
  </r>
  <r>
    <x v="83"/>
    <n v="3939039"/>
  </r>
  <r>
    <x v="83"/>
    <n v="4592483"/>
  </r>
  <r>
    <x v="83"/>
    <n v="4335997"/>
  </r>
  <r>
    <x v="83"/>
    <n v="2151756"/>
  </r>
  <r>
    <x v="83"/>
    <n v="3008129"/>
  </r>
  <r>
    <x v="83"/>
    <n v="4877575"/>
  </r>
  <r>
    <x v="83"/>
    <n v="4896997"/>
  </r>
  <r>
    <x v="84"/>
    <n v="3349766"/>
  </r>
  <r>
    <x v="84"/>
    <n v="3488307"/>
  </r>
  <r>
    <x v="84"/>
    <n v="1939849"/>
  </r>
  <r>
    <x v="84"/>
    <n v="4444268"/>
  </r>
  <r>
    <x v="84"/>
    <n v="3385426"/>
  </r>
  <r>
    <x v="84"/>
    <n v="1567855"/>
  </r>
  <r>
    <x v="84"/>
    <n v="4329346"/>
  </r>
  <r>
    <x v="84"/>
    <n v="2575734"/>
  </r>
  <r>
    <x v="85"/>
    <n v="3743113"/>
  </r>
  <r>
    <x v="85"/>
    <n v="1986815"/>
  </r>
  <r>
    <x v="85"/>
    <n v="4592511"/>
  </r>
  <r>
    <x v="85"/>
    <n v="4605801"/>
  </r>
  <r>
    <x v="85"/>
    <n v="2301477"/>
  </r>
  <r>
    <x v="85"/>
    <n v="5242535"/>
  </r>
  <r>
    <x v="85"/>
    <n v="3914985"/>
  </r>
  <r>
    <x v="85"/>
    <n v="2373717"/>
  </r>
  <r>
    <x v="86"/>
    <n v="1997585"/>
  </r>
  <r>
    <x v="86"/>
    <n v="1773192"/>
  </r>
  <r>
    <x v="86"/>
    <n v="4355685"/>
  </r>
  <r>
    <x v="86"/>
    <n v="3487381"/>
  </r>
  <r>
    <x v="86"/>
    <n v="2476850"/>
  </r>
  <r>
    <x v="86"/>
    <n v="3034082"/>
  </r>
  <r>
    <x v="86"/>
    <n v="3954217"/>
  </r>
  <r>
    <x v="86"/>
    <n v="3966434"/>
  </r>
  <r>
    <x v="87"/>
    <n v="3364135"/>
  </r>
  <r>
    <x v="87"/>
    <n v="2214283"/>
  </r>
  <r>
    <x v="87"/>
    <n v="3398589"/>
  </r>
  <r>
    <x v="87"/>
    <n v="5121250"/>
  </r>
  <r>
    <x v="87"/>
    <n v="4734397"/>
  </r>
  <r>
    <x v="87"/>
    <n v="3718699"/>
  </r>
  <r>
    <x v="87"/>
    <n v="4361937"/>
  </r>
  <r>
    <x v="87"/>
    <n v="3308340"/>
  </r>
  <r>
    <x v="88"/>
    <n v="2695649"/>
  </r>
  <r>
    <x v="88"/>
    <n v="3099055"/>
  </r>
  <r>
    <x v="88"/>
    <n v="3704616"/>
  </r>
  <r>
    <x v="88"/>
    <n v="4915434"/>
  </r>
  <r>
    <x v="88"/>
    <n v="3770323"/>
  </r>
  <r>
    <x v="88"/>
    <n v="3251664"/>
  </r>
  <r>
    <x v="88"/>
    <n v="2462850"/>
  </r>
  <r>
    <x v="88"/>
    <n v="4298463"/>
  </r>
  <r>
    <x v="89"/>
    <n v="2121566"/>
  </r>
  <r>
    <x v="89"/>
    <n v="4007983"/>
  </r>
  <r>
    <x v="89"/>
    <n v="1821342"/>
  </r>
  <r>
    <x v="89"/>
    <n v="4848518"/>
  </r>
  <r>
    <x v="89"/>
    <n v="4674230"/>
  </r>
  <r>
    <x v="89"/>
    <n v="3276766"/>
  </r>
  <r>
    <x v="89"/>
    <n v="4758027"/>
  </r>
  <r>
    <x v="89"/>
    <n v="3054221"/>
  </r>
  <r>
    <x v="90"/>
    <n v="4471991"/>
  </r>
  <r>
    <x v="90"/>
    <n v="4043141"/>
  </r>
  <r>
    <x v="90"/>
    <n v="5247175"/>
  </r>
  <r>
    <x v="90"/>
    <n v="5590594"/>
  </r>
  <r>
    <x v="90"/>
    <n v="3191642"/>
  </r>
  <r>
    <x v="90"/>
    <n v="2984094"/>
  </r>
  <r>
    <x v="90"/>
    <n v="4633374"/>
  </r>
  <r>
    <x v="90"/>
    <n v="3868303"/>
  </r>
  <r>
    <x v="91"/>
    <n v="2397781"/>
  </r>
  <r>
    <x v="91"/>
    <n v="4715432"/>
  </r>
  <r>
    <x v="91"/>
    <n v="4497537"/>
  </r>
  <r>
    <x v="91"/>
    <n v="3842906"/>
  </r>
  <r>
    <x v="91"/>
    <n v="5010926"/>
  </r>
  <r>
    <x v="91"/>
    <n v="3006566"/>
  </r>
  <r>
    <x v="91"/>
    <n v="3518293"/>
  </r>
  <r>
    <x v="91"/>
    <n v="3172610"/>
  </r>
  <r>
    <x v="92"/>
    <n v="3739366"/>
  </r>
  <r>
    <x v="92"/>
    <n v="2751215"/>
  </r>
  <r>
    <x v="92"/>
    <n v="3537536"/>
  </r>
  <r>
    <x v="92"/>
    <n v="5193655"/>
  </r>
  <r>
    <x v="92"/>
    <n v="4144603"/>
  </r>
  <r>
    <x v="92"/>
    <n v="5283284"/>
  </r>
  <r>
    <x v="92"/>
    <n v="3015390"/>
  </r>
  <r>
    <x v="92"/>
    <n v="3783564"/>
  </r>
  <r>
    <x v="93"/>
    <n v="1710286"/>
  </r>
  <r>
    <x v="93"/>
    <n v="3792632"/>
  </r>
  <r>
    <x v="93"/>
    <n v="2996129"/>
  </r>
  <r>
    <x v="93"/>
    <n v="5329570"/>
  </r>
  <r>
    <x v="93"/>
    <n v="5641144"/>
  </r>
  <r>
    <x v="93"/>
    <n v="4221941"/>
  </r>
  <r>
    <x v="93"/>
    <n v="1222035"/>
  </r>
  <r>
    <x v="93"/>
    <n v="1349653"/>
  </r>
  <r>
    <x v="94"/>
    <n v="1379862"/>
  </r>
  <r>
    <x v="94"/>
    <n v="1100084"/>
  </r>
  <r>
    <x v="94"/>
    <n v="2206172"/>
  </r>
  <r>
    <x v="94"/>
    <n v="2155985"/>
  </r>
  <r>
    <x v="94"/>
    <n v="934783"/>
  </r>
  <r>
    <x v="94"/>
    <n v="1563229"/>
  </r>
  <r>
    <x v="94"/>
    <n v="1328239"/>
  </r>
  <r>
    <x v="94"/>
    <n v="706988"/>
  </r>
  <r>
    <x v="95"/>
    <n v="2023313"/>
  </r>
  <r>
    <x v="95"/>
    <n v="1482529"/>
  </r>
  <r>
    <x v="95"/>
    <n v="1828708"/>
  </r>
  <r>
    <x v="95"/>
    <n v="1248337"/>
  </r>
  <r>
    <x v="95"/>
    <n v="621156"/>
  </r>
  <r>
    <x v="95"/>
    <n v="1524456"/>
  </r>
  <r>
    <x v="95"/>
    <n v="2239525"/>
  </r>
  <r>
    <x v="95"/>
    <n v="881021"/>
  </r>
  <r>
    <x v="96"/>
    <n v="1248275"/>
  </r>
  <r>
    <x v="96"/>
    <n v="610299"/>
  </r>
  <r>
    <x v="96"/>
    <n v="1546430"/>
  </r>
  <r>
    <x v="96"/>
    <n v="1449984"/>
  </r>
  <r>
    <x v="96"/>
    <n v="2304097"/>
  </r>
  <r>
    <x v="96"/>
    <n v="1966665"/>
  </r>
  <r>
    <x v="96"/>
    <n v="2177606"/>
  </r>
  <r>
    <x v="96"/>
    <n v="2276436"/>
  </r>
  <r>
    <x v="97"/>
    <n v="2264993"/>
  </r>
  <r>
    <x v="97"/>
    <n v="1640598"/>
  </r>
  <r>
    <x v="97"/>
    <n v="1793739"/>
  </r>
  <r>
    <x v="97"/>
    <n v="635211"/>
  </r>
  <r>
    <x v="97"/>
    <n v="2114581"/>
  </r>
  <r>
    <x v="97"/>
    <n v="1706749"/>
  </r>
  <r>
    <x v="97"/>
    <n v="1364559"/>
  </r>
  <r>
    <x v="97"/>
    <n v="1508894"/>
  </r>
  <r>
    <x v="98"/>
    <n v="813988"/>
  </r>
  <r>
    <x v="98"/>
    <n v="1110743"/>
  </r>
  <r>
    <x v="98"/>
    <n v="1503440"/>
  </r>
  <r>
    <x v="98"/>
    <n v="1947435"/>
  </r>
  <r>
    <x v="98"/>
    <n v="1671168"/>
  </r>
  <r>
    <x v="98"/>
    <n v="766907"/>
  </r>
  <r>
    <x v="98"/>
    <n v="1833915"/>
  </r>
  <r>
    <x v="98"/>
    <n v="1027559"/>
  </r>
  <r>
    <x v="99"/>
    <n v="2160675"/>
  </r>
  <r>
    <x v="99"/>
    <n v="1692448"/>
  </r>
  <r>
    <x v="99"/>
    <n v="1453537"/>
  </r>
  <r>
    <x v="99"/>
    <n v="1055298"/>
  </r>
  <r>
    <x v="99"/>
    <n v="1840610"/>
  </r>
  <r>
    <x v="99"/>
    <n v="890738"/>
  </r>
  <r>
    <x v="99"/>
    <n v="1825918"/>
  </r>
  <r>
    <x v="99"/>
    <n v="1187404"/>
  </r>
  <r>
    <x v="100"/>
    <n v="1837455"/>
  </r>
  <r>
    <x v="100"/>
    <n v="1844268"/>
  </r>
  <r>
    <x v="100"/>
    <n v="1524052"/>
  </r>
  <r>
    <x v="100"/>
    <n v="1933571"/>
  </r>
  <r>
    <x v="100"/>
    <n v="991612"/>
  </r>
  <r>
    <x v="100"/>
    <n v="681616"/>
  </r>
  <r>
    <x v="100"/>
    <n v="658514"/>
  </r>
  <r>
    <x v="100"/>
    <n v="1975572"/>
  </r>
  <r>
    <x v="101"/>
    <n v="1687626"/>
  </r>
  <r>
    <x v="101"/>
    <n v="1139867"/>
  </r>
  <r>
    <x v="101"/>
    <n v="2563695"/>
  </r>
  <r>
    <x v="101"/>
    <n v="2106238"/>
  </r>
  <r>
    <x v="101"/>
    <n v="961581"/>
  </r>
  <r>
    <x v="101"/>
    <n v="2646596"/>
  </r>
  <r>
    <x v="101"/>
    <n v="1797721"/>
  </r>
  <r>
    <x v="101"/>
    <n v="1509964"/>
  </r>
  <r>
    <x v="102"/>
    <n v="1008489"/>
  </r>
  <r>
    <x v="102"/>
    <n v="1034609"/>
  </r>
  <r>
    <x v="102"/>
    <n v="982993"/>
  </r>
  <r>
    <x v="102"/>
    <n v="2575758"/>
  </r>
  <r>
    <x v="102"/>
    <n v="2008544"/>
  </r>
  <r>
    <x v="102"/>
    <n v="816976"/>
  </r>
  <r>
    <x v="102"/>
    <n v="1051094"/>
  </r>
  <r>
    <x v="102"/>
    <n v="2174806"/>
  </r>
  <r>
    <x v="103"/>
    <n v="1995830"/>
  </r>
  <r>
    <x v="103"/>
    <n v="1411864"/>
  </r>
  <r>
    <x v="103"/>
    <n v="2591155"/>
  </r>
  <r>
    <x v="103"/>
    <n v="1748086"/>
  </r>
  <r>
    <x v="103"/>
    <n v="1236001"/>
  </r>
  <r>
    <x v="103"/>
    <n v="933527"/>
  </r>
  <r>
    <x v="103"/>
    <n v="1046499"/>
  </r>
  <r>
    <x v="103"/>
    <n v="1032801"/>
  </r>
  <r>
    <x v="104"/>
    <n v="1921823"/>
  </r>
  <r>
    <x v="104"/>
    <n v="1983640"/>
  </r>
  <r>
    <x v="104"/>
    <n v="2214614"/>
  </r>
  <r>
    <x v="104"/>
    <n v="864719"/>
  </r>
  <r>
    <x v="104"/>
    <n v="2806972"/>
  </r>
  <r>
    <x v="104"/>
    <n v="2356278"/>
  </r>
  <r>
    <x v="104"/>
    <n v="1776922"/>
  </r>
  <r>
    <x v="104"/>
    <n v="2566682"/>
  </r>
  <r>
    <x v="105"/>
    <n v="1239972"/>
  </r>
  <r>
    <x v="105"/>
    <n v="1260786"/>
  </r>
  <r>
    <x v="105"/>
    <n v="1606077"/>
  </r>
  <r>
    <x v="105"/>
    <n v="888864"/>
  </r>
  <r>
    <x v="105"/>
    <n v="1830680"/>
  </r>
  <r>
    <x v="105"/>
    <n v="2092674"/>
  </r>
  <r>
    <x v="105"/>
    <n v="1049385"/>
  </r>
  <r>
    <x v="105"/>
    <n v="1026512"/>
  </r>
  <r>
    <x v="106"/>
    <n v="1173059"/>
  </r>
  <r>
    <x v="106"/>
    <n v="1451719"/>
  </r>
  <r>
    <x v="106"/>
    <n v="2651961"/>
  </r>
  <r>
    <x v="106"/>
    <n v="2784897"/>
  </r>
  <r>
    <x v="106"/>
    <n v="840634"/>
  </r>
  <r>
    <x v="106"/>
    <n v="2977259"/>
  </r>
  <r>
    <x v="106"/>
    <n v="2260211"/>
  </r>
  <r>
    <x v="106"/>
    <n v="2342233"/>
  </r>
  <r>
    <x v="107"/>
    <n v="1223594"/>
  </r>
  <r>
    <x v="107"/>
    <n v="2383994"/>
  </r>
  <r>
    <x v="107"/>
    <n v="2689727"/>
  </r>
  <r>
    <x v="107"/>
    <n v="2145061"/>
  </r>
  <r>
    <x v="107"/>
    <n v="2568978"/>
  </r>
  <r>
    <x v="107"/>
    <n v="1278871"/>
  </r>
  <r>
    <x v="107"/>
    <n v="1352077"/>
  </r>
  <r>
    <x v="107"/>
    <n v="882706"/>
  </r>
  <r>
    <x v="108"/>
    <n v="2498571"/>
  </r>
  <r>
    <x v="108"/>
    <n v="2844463"/>
  </r>
  <r>
    <x v="108"/>
    <n v="1753689"/>
  </r>
  <r>
    <x v="108"/>
    <n v="2301198"/>
  </r>
  <r>
    <x v="108"/>
    <n v="1676052"/>
  </r>
  <r>
    <x v="108"/>
    <n v="1942627"/>
  </r>
  <r>
    <x v="108"/>
    <n v="2370799"/>
  </r>
  <r>
    <x v="108"/>
    <n v="2263450"/>
  </r>
  <r>
    <x v="109"/>
    <n v="2377147"/>
  </r>
  <r>
    <x v="109"/>
    <n v="863047"/>
  </r>
  <r>
    <x v="109"/>
    <n v="2398252"/>
  </r>
  <r>
    <x v="109"/>
    <n v="932587"/>
  </r>
  <r>
    <x v="109"/>
    <n v="3108112"/>
  </r>
  <r>
    <x v="109"/>
    <n v="3012897"/>
  </r>
  <r>
    <x v="109"/>
    <n v="1470298"/>
  </r>
  <r>
    <x v="109"/>
    <n v="886403"/>
  </r>
  <r>
    <x v="110"/>
    <n v="2689258"/>
  </r>
  <r>
    <x v="110"/>
    <n v="1171169"/>
  </r>
  <r>
    <x v="110"/>
    <n v="1242357"/>
  </r>
  <r>
    <x v="110"/>
    <n v="1960084"/>
  </r>
  <r>
    <x v="110"/>
    <n v="2737118"/>
  </r>
  <r>
    <x v="110"/>
    <n v="2600102"/>
  </r>
  <r>
    <x v="110"/>
    <n v="1758500"/>
  </r>
  <r>
    <x v="110"/>
    <n v="914309"/>
  </r>
  <r>
    <x v="111"/>
    <n v="2089785"/>
  </r>
  <r>
    <x v="111"/>
    <n v="1994384"/>
  </r>
  <r>
    <x v="111"/>
    <n v="2316869"/>
  </r>
  <r>
    <x v="111"/>
    <n v="1761928"/>
  </r>
  <r>
    <x v="111"/>
    <n v="1475600"/>
  </r>
  <r>
    <x v="111"/>
    <n v="1151587"/>
  </r>
  <r>
    <x v="111"/>
    <n v="1152774"/>
  </r>
  <r>
    <x v="111"/>
    <n v="1669685"/>
  </r>
  <r>
    <x v="112"/>
    <n v="2547083"/>
  </r>
  <r>
    <x v="112"/>
    <n v="3142519"/>
  </r>
  <r>
    <x v="112"/>
    <n v="2525961"/>
  </r>
  <r>
    <x v="112"/>
    <n v="2178050"/>
  </r>
  <r>
    <x v="112"/>
    <n v="596572"/>
  </r>
  <r>
    <x v="112"/>
    <n v="539538"/>
  </r>
  <r>
    <x v="112"/>
    <n v="1021868"/>
  </r>
  <r>
    <x v="112"/>
    <n v="1381969"/>
  </r>
  <r>
    <x v="113"/>
    <n v="1576212"/>
  </r>
  <r>
    <x v="113"/>
    <n v="970038"/>
  </r>
  <r>
    <x v="113"/>
    <n v="724278"/>
  </r>
  <r>
    <x v="113"/>
    <n v="521960"/>
  </r>
  <r>
    <x v="113"/>
    <n v="816761"/>
  </r>
  <r>
    <x v="113"/>
    <n v="694907"/>
  </r>
  <r>
    <x v="113"/>
    <n v="1316523"/>
  </r>
  <r>
    <x v="113"/>
    <n v="873284"/>
  </r>
  <r>
    <x v="114"/>
    <n v="610553"/>
  </r>
  <r>
    <x v="114"/>
    <n v="605105"/>
  </r>
  <r>
    <x v="114"/>
    <n v="1239677"/>
  </r>
  <r>
    <x v="114"/>
    <n v="940537"/>
  </r>
  <r>
    <x v="114"/>
    <n v="638910"/>
  </r>
  <r>
    <x v="114"/>
    <n v="1665867"/>
  </r>
  <r>
    <x v="114"/>
    <n v="964067"/>
  </r>
  <r>
    <x v="114"/>
    <n v="1579807"/>
  </r>
  <r>
    <x v="115"/>
    <n v="1509793"/>
  </r>
  <r>
    <x v="115"/>
    <n v="1482978"/>
  </r>
  <r>
    <x v="115"/>
    <n v="752279"/>
  </r>
  <r>
    <x v="115"/>
    <n v="1609224"/>
  </r>
  <r>
    <x v="115"/>
    <n v="1735342"/>
  </r>
  <r>
    <x v="115"/>
    <n v="1220024"/>
  </r>
  <r>
    <x v="115"/>
    <n v="951172"/>
  </r>
  <r>
    <x v="115"/>
    <n v="1547253"/>
  </r>
  <r>
    <x v="116"/>
    <n v="1188761"/>
  </r>
  <r>
    <x v="116"/>
    <n v="1624688"/>
  </r>
  <r>
    <x v="116"/>
    <n v="1680838"/>
  </r>
  <r>
    <x v="116"/>
    <n v="1268559"/>
  </r>
  <r>
    <x v="116"/>
    <n v="990043"/>
  </r>
  <r>
    <x v="116"/>
    <n v="1283292"/>
  </r>
  <r>
    <x v="116"/>
    <n v="1398514"/>
  </r>
  <r>
    <x v="116"/>
    <n v="1051852"/>
  </r>
  <r>
    <x v="117"/>
    <n v="1337220"/>
  </r>
  <r>
    <x v="117"/>
    <n v="856785"/>
  </r>
  <r>
    <x v="117"/>
    <n v="1784044"/>
  </r>
  <r>
    <x v="117"/>
    <n v="984634"/>
  </r>
  <r>
    <x v="117"/>
    <n v="788455"/>
  </r>
  <r>
    <x v="117"/>
    <n v="872079"/>
  </r>
  <r>
    <x v="117"/>
    <n v="1351822"/>
  </r>
  <r>
    <x v="117"/>
    <n v="830258"/>
  </r>
  <r>
    <x v="118"/>
    <n v="1236344"/>
  </r>
  <r>
    <x v="118"/>
    <n v="1063342"/>
  </r>
  <r>
    <x v="118"/>
    <n v="671176"/>
  </r>
  <r>
    <x v="118"/>
    <n v="861792"/>
  </r>
  <r>
    <x v="118"/>
    <n v="1403153"/>
  </r>
  <r>
    <x v="118"/>
    <n v="1501271"/>
  </r>
  <r>
    <x v="118"/>
    <n v="1534893"/>
  </r>
  <r>
    <x v="118"/>
    <n v="693236"/>
  </r>
  <r>
    <x v="119"/>
    <n v="1009815"/>
  </r>
  <r>
    <x v="119"/>
    <n v="1918248"/>
  </r>
  <r>
    <x v="119"/>
    <n v="1589613"/>
  </r>
  <r>
    <x v="119"/>
    <n v="619711"/>
  </r>
  <r>
    <x v="119"/>
    <n v="1108952"/>
  </r>
  <r>
    <x v="119"/>
    <n v="1952488"/>
  </r>
  <r>
    <x v="119"/>
    <n v="1123844"/>
  </r>
  <r>
    <x v="119"/>
    <n v="1949529"/>
  </r>
  <r>
    <x v="120"/>
    <n v="794808"/>
  </r>
  <r>
    <x v="120"/>
    <n v="1010261"/>
  </r>
  <r>
    <x v="120"/>
    <n v="1901753"/>
  </r>
  <r>
    <x v="120"/>
    <n v="723711"/>
  </r>
  <r>
    <x v="120"/>
    <n v="1909996"/>
  </r>
  <r>
    <x v="120"/>
    <n v="960392"/>
  </r>
  <r>
    <x v="120"/>
    <n v="2130909"/>
  </r>
  <r>
    <x v="120"/>
    <n v="974050"/>
  </r>
  <r>
    <x v="121"/>
    <n v="1974623"/>
  </r>
  <r>
    <x v="121"/>
    <n v="885127"/>
  </r>
  <r>
    <x v="121"/>
    <n v="1210809"/>
  </r>
  <r>
    <x v="121"/>
    <n v="655804"/>
  </r>
  <r>
    <x v="121"/>
    <n v="1926739"/>
  </r>
  <r>
    <x v="121"/>
    <n v="2126667"/>
  </r>
  <r>
    <x v="121"/>
    <n v="1065437"/>
  </r>
  <r>
    <x v="121"/>
    <n v="913095"/>
  </r>
  <r>
    <x v="122"/>
    <n v="1499681"/>
  </r>
  <r>
    <x v="122"/>
    <n v="589400"/>
  </r>
  <r>
    <x v="122"/>
    <n v="1585531"/>
  </r>
  <r>
    <x v="122"/>
    <n v="1528334"/>
  </r>
  <r>
    <x v="122"/>
    <n v="1983274"/>
  </r>
  <r>
    <x v="122"/>
    <n v="879671"/>
  </r>
  <r>
    <x v="122"/>
    <n v="1271787"/>
  </r>
  <r>
    <x v="122"/>
    <n v="1589927"/>
  </r>
  <r>
    <x v="123"/>
    <n v="1328169"/>
  </r>
  <r>
    <x v="123"/>
    <n v="2129698"/>
  </r>
  <r>
    <x v="123"/>
    <n v="1986272"/>
  </r>
  <r>
    <x v="123"/>
    <n v="1626677"/>
  </r>
  <r>
    <x v="123"/>
    <n v="1457072"/>
  </r>
  <r>
    <x v="123"/>
    <n v="1680059"/>
  </r>
  <r>
    <x v="123"/>
    <n v="1663360"/>
  </r>
  <r>
    <x v="123"/>
    <n v="2035664"/>
  </r>
  <r>
    <x v="124"/>
    <n v="767856"/>
  </r>
  <r>
    <x v="124"/>
    <n v="1998352"/>
  </r>
  <r>
    <x v="124"/>
    <n v="994989"/>
  </r>
  <r>
    <x v="124"/>
    <n v="620002"/>
  </r>
  <r>
    <x v="124"/>
    <n v="1664758"/>
  </r>
  <r>
    <x v="124"/>
    <n v="1771165"/>
  </r>
  <r>
    <x v="124"/>
    <n v="1427615"/>
  </r>
  <r>
    <x v="124"/>
    <n v="860236"/>
  </r>
  <r>
    <x v="125"/>
    <n v="1276802"/>
  </r>
  <r>
    <x v="125"/>
    <n v="894866"/>
  </r>
  <r>
    <x v="125"/>
    <n v="1866821"/>
  </r>
  <r>
    <x v="125"/>
    <n v="1232424"/>
  </r>
  <r>
    <x v="125"/>
    <n v="1552194"/>
  </r>
  <r>
    <x v="125"/>
    <n v="849123"/>
  </r>
  <r>
    <x v="125"/>
    <n v="1311749"/>
  </r>
  <r>
    <x v="125"/>
    <n v="2064028"/>
  </r>
  <r>
    <x v="126"/>
    <n v="996102"/>
  </r>
  <r>
    <x v="126"/>
    <n v="1878102"/>
  </r>
  <r>
    <x v="126"/>
    <n v="1580101"/>
  </r>
  <r>
    <x v="126"/>
    <n v="999534"/>
  </r>
  <r>
    <x v="126"/>
    <n v="1382601"/>
  </r>
  <r>
    <x v="126"/>
    <n v="2103255"/>
  </r>
  <r>
    <x v="126"/>
    <n v="1563781"/>
  </r>
  <r>
    <x v="126"/>
    <n v="931335"/>
  </r>
  <r>
    <x v="127"/>
    <n v="2151665"/>
  </r>
  <r>
    <x v="127"/>
    <n v="2310474"/>
  </r>
  <r>
    <x v="127"/>
    <n v="1497101"/>
  </r>
  <r>
    <x v="127"/>
    <n v="1041351"/>
  </r>
  <r>
    <x v="127"/>
    <n v="1008004"/>
  </r>
  <r>
    <x v="127"/>
    <n v="1269603"/>
  </r>
  <r>
    <x v="127"/>
    <n v="1603999"/>
  </r>
  <r>
    <x v="127"/>
    <n v="894206"/>
  </r>
  <r>
    <x v="128"/>
    <n v="1785441"/>
  </r>
  <r>
    <x v="128"/>
    <n v="1503215"/>
  </r>
  <r>
    <x v="128"/>
    <n v="2069716"/>
  </r>
  <r>
    <x v="128"/>
    <n v="827862"/>
  </r>
  <r>
    <x v="128"/>
    <n v="1949941"/>
  </r>
  <r>
    <x v="128"/>
    <n v="1413512"/>
  </r>
  <r>
    <x v="128"/>
    <n v="987112"/>
  </r>
  <r>
    <x v="128"/>
    <n v="1288061"/>
  </r>
  <r>
    <x v="129"/>
    <n v="2219552"/>
  </r>
  <r>
    <x v="129"/>
    <n v="1274364"/>
  </r>
  <r>
    <x v="129"/>
    <n v="1981267"/>
  </r>
  <r>
    <x v="129"/>
    <n v="2484596"/>
  </r>
  <r>
    <x v="129"/>
    <n v="2210525"/>
  </r>
  <r>
    <x v="129"/>
    <n v="2223151"/>
  </r>
  <r>
    <x v="129"/>
    <n v="1064468"/>
  </r>
  <r>
    <x v="129"/>
    <n v="2440639"/>
  </r>
  <r>
    <x v="130"/>
    <n v="1142283"/>
  </r>
  <r>
    <x v="130"/>
    <n v="1719025"/>
  </r>
  <r>
    <x v="130"/>
    <n v="1191929"/>
  </r>
  <r>
    <x v="130"/>
    <n v="1427308"/>
  </r>
  <r>
    <x v="130"/>
    <n v="2522297"/>
  </r>
  <r>
    <x v="130"/>
    <n v="2491290"/>
  </r>
  <r>
    <x v="130"/>
    <n v="1999860"/>
  </r>
  <r>
    <x v="130"/>
    <n v="1115062"/>
  </r>
  <r>
    <x v="131"/>
    <n v="1551635"/>
  </r>
  <r>
    <x v="131"/>
    <n v="2374188"/>
  </r>
  <r>
    <x v="131"/>
    <n v="1629262"/>
  </r>
  <r>
    <x v="131"/>
    <n v="1296258"/>
  </r>
  <r>
    <x v="131"/>
    <n v="710053"/>
  </r>
  <r>
    <x v="131"/>
    <n v="1382455"/>
  </r>
  <r>
    <x v="131"/>
    <n v="1417502"/>
  </r>
  <r>
    <x v="131"/>
    <n v="1262042"/>
  </r>
  <r>
    <x v="132"/>
    <n v="1534120"/>
  </r>
  <r>
    <x v="132"/>
    <n v="1717658"/>
  </r>
  <r>
    <x v="132"/>
    <n v="1722686"/>
  </r>
  <r>
    <x v="132"/>
    <n v="617267"/>
  </r>
  <r>
    <x v="132"/>
    <n v="596155"/>
  </r>
  <r>
    <x v="132"/>
    <n v="1369950"/>
  </r>
  <r>
    <x v="132"/>
    <n v="1237764"/>
  </r>
  <r>
    <x v="132"/>
    <n v="1750678"/>
  </r>
  <r>
    <x v="133"/>
    <n v="1405953"/>
  </r>
  <r>
    <x v="133"/>
    <n v="702836"/>
  </r>
  <r>
    <x v="133"/>
    <n v="1619109"/>
  </r>
  <r>
    <x v="133"/>
    <n v="1395155"/>
  </r>
  <r>
    <x v="133"/>
    <n v="784073"/>
  </r>
  <r>
    <x v="133"/>
    <n v="1696657"/>
  </r>
  <r>
    <x v="133"/>
    <n v="1345880"/>
  </r>
  <r>
    <x v="133"/>
    <n v="1840373"/>
  </r>
  <r>
    <x v="134"/>
    <n v="2032553"/>
  </r>
  <r>
    <x v="134"/>
    <n v="973481"/>
  </r>
  <r>
    <x v="134"/>
    <n v="1759687"/>
  </r>
  <r>
    <x v="134"/>
    <n v="853811"/>
  </r>
  <r>
    <x v="134"/>
    <n v="653959"/>
  </r>
  <r>
    <x v="134"/>
    <n v="924298"/>
  </r>
  <r>
    <x v="134"/>
    <n v="1174325"/>
  </r>
  <r>
    <x v="134"/>
    <n v="1396056"/>
  </r>
  <r>
    <x v="135"/>
    <n v="856506"/>
  </r>
  <r>
    <x v="135"/>
    <n v="697051"/>
  </r>
  <r>
    <x v="135"/>
    <n v="1762082"/>
  </r>
  <r>
    <x v="135"/>
    <n v="2151316"/>
  </r>
  <r>
    <x v="135"/>
    <n v="1293323"/>
  </r>
  <r>
    <x v="135"/>
    <n v="1615479"/>
  </r>
  <r>
    <x v="135"/>
    <n v="1703548"/>
  </r>
  <r>
    <x v="135"/>
    <n v="767606"/>
  </r>
  <r>
    <x v="136"/>
    <n v="954234"/>
  </r>
  <r>
    <x v="136"/>
    <n v="1823361"/>
  </r>
  <r>
    <x v="136"/>
    <n v="652273"/>
  </r>
  <r>
    <x v="136"/>
    <n v="1413128"/>
  </r>
  <r>
    <x v="136"/>
    <n v="1091540"/>
  </r>
  <r>
    <x v="136"/>
    <n v="1783723"/>
  </r>
  <r>
    <x v="136"/>
    <n v="565227"/>
  </r>
  <r>
    <x v="136"/>
    <n v="1233239"/>
  </r>
  <r>
    <x v="137"/>
    <n v="1526094"/>
  </r>
  <r>
    <x v="137"/>
    <n v="1532083"/>
  </r>
  <r>
    <x v="137"/>
    <n v="1065105"/>
  </r>
  <r>
    <x v="137"/>
    <n v="1860333"/>
  </r>
  <r>
    <x v="137"/>
    <n v="1819545"/>
  </r>
  <r>
    <x v="137"/>
    <n v="1038673"/>
  </r>
  <r>
    <x v="137"/>
    <n v="968453"/>
  </r>
  <r>
    <x v="137"/>
    <n v="2239851"/>
  </r>
  <r>
    <x v="138"/>
    <n v="1674592"/>
  </r>
  <r>
    <x v="138"/>
    <n v="1838691"/>
  </r>
  <r>
    <x v="138"/>
    <n v="1596930"/>
  </r>
  <r>
    <x v="138"/>
    <n v="997969"/>
  </r>
  <r>
    <x v="138"/>
    <n v="1972385"/>
  </r>
  <r>
    <x v="138"/>
    <n v="1067238"/>
  </r>
  <r>
    <x v="138"/>
    <n v="863836"/>
  </r>
  <r>
    <x v="138"/>
    <n v="1370381"/>
  </r>
  <r>
    <x v="139"/>
    <n v="1163896"/>
  </r>
  <r>
    <x v="139"/>
    <n v="653282"/>
  </r>
  <r>
    <x v="139"/>
    <n v="1137340"/>
  </r>
  <r>
    <x v="139"/>
    <n v="1604406"/>
  </r>
  <r>
    <x v="139"/>
    <n v="1896373"/>
  </r>
  <r>
    <x v="139"/>
    <n v="1689226"/>
  </r>
  <r>
    <x v="139"/>
    <n v="632491"/>
  </r>
  <r>
    <x v="139"/>
    <n v="755012"/>
  </r>
  <r>
    <x v="140"/>
    <n v="1824662"/>
  </r>
  <r>
    <x v="140"/>
    <n v="2234265"/>
  </r>
  <r>
    <x v="140"/>
    <n v="1219449"/>
  </r>
  <r>
    <x v="140"/>
    <n v="1382430"/>
  </r>
  <r>
    <x v="140"/>
    <n v="660197"/>
  </r>
  <r>
    <x v="140"/>
    <n v="1707679"/>
  </r>
  <r>
    <x v="140"/>
    <n v="1524658"/>
  </r>
  <r>
    <x v="140"/>
    <n v="2155353"/>
  </r>
  <r>
    <x v="141"/>
    <n v="1663507"/>
  </r>
  <r>
    <x v="141"/>
    <n v="1315157"/>
  </r>
  <r>
    <x v="141"/>
    <n v="1273912"/>
  </r>
  <r>
    <x v="141"/>
    <n v="1676247"/>
  </r>
  <r>
    <x v="141"/>
    <n v="1935407"/>
  </r>
  <r>
    <x v="141"/>
    <n v="1662687"/>
  </r>
  <r>
    <x v="141"/>
    <n v="1235718"/>
  </r>
  <r>
    <x v="141"/>
    <n v="1931013"/>
  </r>
  <r>
    <x v="142"/>
    <n v="873667"/>
  </r>
  <r>
    <x v="142"/>
    <n v="1114601"/>
  </r>
  <r>
    <x v="142"/>
    <n v="2168842"/>
  </r>
  <r>
    <x v="142"/>
    <n v="1143389"/>
  </r>
  <r>
    <x v="142"/>
    <n v="2005128"/>
  </r>
  <r>
    <x v="142"/>
    <n v="1213777"/>
  </r>
  <r>
    <x v="142"/>
    <n v="1068867"/>
  </r>
  <r>
    <x v="142"/>
    <n v="1669091"/>
  </r>
  <r>
    <x v="143"/>
    <n v="2573964"/>
  </r>
  <r>
    <x v="143"/>
    <n v="2003833"/>
  </r>
  <r>
    <x v="143"/>
    <n v="1743086"/>
  </r>
  <r>
    <x v="143"/>
    <n v="2403781"/>
  </r>
  <r>
    <x v="143"/>
    <n v="994572"/>
  </r>
  <r>
    <x v="143"/>
    <n v="881680"/>
  </r>
  <r>
    <x v="143"/>
    <n v="2126447"/>
  </r>
  <r>
    <x v="143"/>
    <n v="2191957"/>
  </r>
  <r>
    <x v="144"/>
    <n v="2610929"/>
  </r>
  <r>
    <x v="144"/>
    <n v="1453005"/>
  </r>
  <r>
    <x v="144"/>
    <n v="897419"/>
  </r>
  <r>
    <x v="144"/>
    <n v="2135887"/>
  </r>
  <r>
    <x v="144"/>
    <n v="2346875"/>
  </r>
  <r>
    <x v="144"/>
    <n v="1664376"/>
  </r>
  <r>
    <x v="144"/>
    <n v="1246415"/>
  </r>
  <r>
    <x v="144"/>
    <n v="1527894"/>
  </r>
  <r>
    <x v="145"/>
    <n v="1788865"/>
  </r>
  <r>
    <x v="145"/>
    <n v="1446846"/>
  </r>
  <r>
    <x v="145"/>
    <n v="2229196"/>
  </r>
  <r>
    <x v="145"/>
    <n v="1325195"/>
  </r>
  <r>
    <x v="145"/>
    <n v="1740772"/>
  </r>
  <r>
    <x v="145"/>
    <n v="2261892"/>
  </r>
  <r>
    <x v="145"/>
    <n v="1288081"/>
  </r>
  <r>
    <x v="145"/>
    <n v="1627966"/>
  </r>
  <r>
    <x v="146"/>
    <n v="2160439"/>
  </r>
  <r>
    <x v="146"/>
    <n v="1624593"/>
  </r>
  <r>
    <x v="146"/>
    <n v="2143916"/>
  </r>
  <r>
    <x v="146"/>
    <n v="2417097"/>
  </r>
  <r>
    <x v="146"/>
    <n v="1708126"/>
  </r>
  <r>
    <x v="146"/>
    <n v="2352866"/>
  </r>
  <r>
    <x v="146"/>
    <n v="2335588"/>
  </r>
  <r>
    <x v="146"/>
    <n v="2715393"/>
  </r>
  <r>
    <x v="147"/>
    <n v="846557"/>
  </r>
  <r>
    <x v="147"/>
    <n v="2256435"/>
  </r>
  <r>
    <x v="147"/>
    <n v="895383"/>
  </r>
  <r>
    <x v="147"/>
    <n v="1390132"/>
  </r>
  <r>
    <x v="147"/>
    <n v="1553071"/>
  </r>
  <r>
    <x v="147"/>
    <n v="915345"/>
  </r>
  <r>
    <x v="147"/>
    <n v="1082124"/>
  </r>
  <r>
    <x v="147"/>
    <n v="2659438"/>
  </r>
  <r>
    <x v="148"/>
    <n v="742191"/>
  </r>
  <r>
    <x v="148"/>
    <n v="1262713"/>
  </r>
  <r>
    <x v="148"/>
    <n v="2539199"/>
  </r>
  <r>
    <x v="148"/>
    <n v="2688562"/>
  </r>
  <r>
    <x v="148"/>
    <n v="1836896"/>
  </r>
  <r>
    <x v="148"/>
    <n v="1771507"/>
  </r>
  <r>
    <x v="148"/>
    <n v="2579792"/>
  </r>
  <r>
    <x v="148"/>
    <n v="2223519"/>
  </r>
  <r>
    <x v="149"/>
    <n v="990933"/>
  </r>
  <r>
    <x v="149"/>
    <n v="1402552"/>
  </r>
  <r>
    <x v="149"/>
    <n v="1271476"/>
  </r>
  <r>
    <x v="149"/>
    <n v="1066609"/>
  </r>
  <r>
    <x v="149"/>
    <n v="2888753"/>
  </r>
  <r>
    <x v="149"/>
    <n v="1327289"/>
  </r>
  <r>
    <x v="149"/>
    <n v="1895582"/>
  </r>
  <r>
    <x v="149"/>
    <n v="19986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FAEB51-6D5A-4E7B-B638-3E6B1E5150C9}" name="Top 5 Countrie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H15:I21" firstHeaderRow="1" firstDataRow="1" firstDataCol="1"/>
  <pivotFields count="5">
    <pivotField showAll="0"/>
    <pivotField axis="axisRow" showAll="0" measureFilter="1"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
  </rowFields>
  <rowItems count="6">
    <i>
      <x v="4"/>
    </i>
    <i>
      <x v="3"/>
    </i>
    <i>
      <x v="1"/>
    </i>
    <i>
      <x v="2"/>
    </i>
    <i>
      <x v="5"/>
    </i>
    <i t="grand">
      <x/>
    </i>
  </rowItems>
  <colItems count="1">
    <i/>
  </colItems>
  <dataFields count="1">
    <dataField name="total Cases" fld="2" baseField="1" baseItem="4" numFmtId="3"/>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34C7E-3F99-408F-8871-081FA64A0BB1}" name="Deaths vs Recovered"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ountry">
  <location ref="H3:J12" firstHeaderRow="0" firstDataRow="1" firstDataCol="1"/>
  <pivotFields count="5">
    <pivotField showAll="0"/>
    <pivotField axis="axisRow" showAll="0">
      <items count="9">
        <item x="0"/>
        <item x="1"/>
        <item x="2"/>
        <item x="3"/>
        <item x="4"/>
        <item x="5"/>
        <item x="6"/>
        <item x="7"/>
        <item t="default"/>
      </items>
    </pivotField>
    <pivotField showAll="0"/>
    <pivotField dataField="1" showAll="0">
      <items count="1197">
        <item x="911"/>
        <item x="42"/>
        <item x="44"/>
        <item x="10"/>
        <item x="52"/>
        <item x="58"/>
        <item x="951"/>
        <item x="927"/>
        <item x="48"/>
        <item x="915"/>
        <item x="33"/>
        <item x="1086"/>
        <item x="25"/>
        <item x="902"/>
        <item x="1063"/>
        <item x="947"/>
        <item x="958"/>
        <item x="1079"/>
        <item x="1081"/>
        <item x="13"/>
        <item x="956"/>
        <item x="966"/>
        <item x="1073"/>
        <item x="770"/>
        <item x="43"/>
        <item x="1009"/>
        <item x="14"/>
        <item x="70"/>
        <item x="1052"/>
        <item x="920"/>
        <item x="946"/>
        <item x="34"/>
        <item x="5"/>
        <item x="916"/>
        <item x="970"/>
        <item x="94"/>
        <item x="87"/>
        <item x="776"/>
        <item x="36"/>
        <item x="26"/>
        <item x="1058"/>
        <item x="979"/>
        <item x="787"/>
        <item x="975"/>
        <item x="767"/>
        <item x="50"/>
        <item x="1118"/>
        <item x="111"/>
        <item x="101"/>
        <item x="940"/>
        <item x="148"/>
        <item x="146"/>
        <item x="1084"/>
        <item x="976"/>
        <item x="1006"/>
        <item x="1005"/>
        <item x="912"/>
        <item x="988"/>
        <item x="92"/>
        <item x="777"/>
        <item x="990"/>
        <item x="1173"/>
        <item x="108"/>
        <item x="953"/>
        <item x="1037"/>
        <item x="1168"/>
        <item x="914"/>
        <item x="905"/>
        <item x="1099"/>
        <item x="1137"/>
        <item x="77"/>
        <item x="69"/>
        <item x="20"/>
        <item x="64"/>
        <item x="828"/>
        <item x="1057"/>
        <item x="965"/>
        <item x="904"/>
        <item x="76"/>
        <item x="104"/>
        <item x="7"/>
        <item x="840"/>
        <item x="1039"/>
        <item x="1035"/>
        <item x="66"/>
        <item x="937"/>
        <item x="116"/>
        <item x="35"/>
        <item x="40"/>
        <item x="900"/>
        <item x="106"/>
        <item x="921"/>
        <item x="1080"/>
        <item x="973"/>
        <item x="59"/>
        <item x="1167"/>
        <item x="922"/>
        <item x="1066"/>
        <item x="763"/>
        <item x="848"/>
        <item x="23"/>
        <item x="762"/>
        <item x="780"/>
        <item x="790"/>
        <item x="1182"/>
        <item x="51"/>
        <item x="56"/>
        <item x="1014"/>
        <item x="1177"/>
        <item x="1064"/>
        <item x="972"/>
        <item x="862"/>
        <item x="73"/>
        <item x="751"/>
        <item x="95"/>
        <item x="986"/>
        <item x="102"/>
        <item x="910"/>
        <item x="1106"/>
        <item x="1082"/>
        <item x="993"/>
        <item x="1001"/>
        <item x="9"/>
        <item x="68"/>
        <item x="1016"/>
        <item x="1010"/>
        <item x="1011"/>
        <item x="783"/>
        <item x="918"/>
        <item x="851"/>
        <item x="784"/>
        <item x="1013"/>
        <item x="808"/>
        <item x="1133"/>
        <item x="886"/>
        <item x="774"/>
        <item x="1181"/>
        <item x="1071"/>
        <item x="1007"/>
        <item x="32"/>
        <item x="1109"/>
        <item x="1065"/>
        <item x="1021"/>
        <item x="964"/>
        <item x="913"/>
        <item x="1051"/>
        <item x="834"/>
        <item x="39"/>
        <item x="2"/>
        <item x="72"/>
        <item x="932"/>
        <item x="983"/>
        <item x="945"/>
        <item x="55"/>
        <item x="1150"/>
        <item x="82"/>
        <item x="980"/>
        <item x="1148"/>
        <item x="944"/>
        <item x="925"/>
        <item x="1145"/>
        <item x="1024"/>
        <item x="1160"/>
        <item x="782"/>
        <item x="760"/>
        <item x="1043"/>
        <item x="908"/>
        <item x="844"/>
        <item x="1031"/>
        <item x="1070"/>
        <item x="1083"/>
        <item x="84"/>
        <item x="832"/>
        <item x="1131"/>
        <item x="794"/>
        <item x="798"/>
        <item x="1004"/>
        <item x="1163"/>
        <item x="924"/>
        <item x="61"/>
        <item x="811"/>
        <item x="31"/>
        <item x="831"/>
        <item x="62"/>
        <item x="997"/>
        <item x="929"/>
        <item x="12"/>
        <item x="992"/>
        <item x="792"/>
        <item x="786"/>
        <item x="124"/>
        <item x="971"/>
        <item x="1090"/>
        <item x="842"/>
        <item x="791"/>
        <item x="30"/>
        <item x="3"/>
        <item x="906"/>
        <item x="1170"/>
        <item x="1151"/>
        <item x="771"/>
        <item x="985"/>
        <item x="1050"/>
        <item x="923"/>
        <item x="930"/>
        <item x="49"/>
        <item x="143"/>
        <item x="0"/>
        <item x="1012"/>
        <item x="99"/>
        <item x="765"/>
        <item x="1108"/>
        <item x="21"/>
        <item x="1142"/>
        <item x="1002"/>
        <item x="47"/>
        <item x="816"/>
        <item x="1048"/>
        <item x="876"/>
        <item x="1155"/>
        <item x="867"/>
        <item x="1046"/>
        <item x="926"/>
        <item x="1060"/>
        <item x="1091"/>
        <item x="960"/>
        <item x="120"/>
        <item x="115"/>
        <item x="810"/>
        <item x="850"/>
        <item x="757"/>
        <item x="135"/>
        <item x="1056"/>
        <item x="919"/>
        <item x="19"/>
        <item x="313"/>
        <item x="949"/>
        <item x="1153"/>
        <item x="15"/>
        <item x="982"/>
        <item x="1140"/>
        <item x="754"/>
        <item x="121"/>
        <item x="1074"/>
        <item x="814"/>
        <item x="331"/>
        <item x="317"/>
        <item x="314"/>
        <item x="126"/>
        <item x="93"/>
        <item x="853"/>
        <item x="1047"/>
        <item x="1138"/>
        <item x="1003"/>
        <item x="948"/>
        <item x="8"/>
        <item x="329"/>
        <item x="37"/>
        <item x="78"/>
        <item x="24"/>
        <item x="858"/>
        <item x="327"/>
        <item x="1186"/>
        <item x="45"/>
        <item x="11"/>
        <item x="891"/>
        <item x="883"/>
        <item x="60"/>
        <item x="888"/>
        <item x="80"/>
        <item x="74"/>
        <item x="874"/>
        <item x="1117"/>
        <item x="934"/>
        <item x="961"/>
        <item x="149"/>
        <item x="1054"/>
        <item x="936"/>
        <item x="766"/>
        <item x="870"/>
        <item x="819"/>
        <item x="1129"/>
        <item x="1072"/>
        <item x="323"/>
        <item x="1134"/>
        <item x="1189"/>
        <item x="835"/>
        <item x="63"/>
        <item x="1022"/>
        <item x="38"/>
        <item x="1"/>
        <item x="125"/>
        <item x="54"/>
        <item x="132"/>
        <item x="999"/>
        <item x="1179"/>
        <item x="907"/>
        <item x="775"/>
        <item x="1147"/>
        <item x="337"/>
        <item x="1038"/>
        <item x="1178"/>
        <item x="795"/>
        <item x="16"/>
        <item x="1040"/>
        <item x="130"/>
        <item x="803"/>
        <item x="318"/>
        <item x="1188"/>
        <item x="1069"/>
        <item x="4"/>
        <item x="813"/>
        <item x="957"/>
        <item x="901"/>
        <item x="954"/>
        <item x="917"/>
        <item x="1045"/>
        <item x="909"/>
        <item x="114"/>
        <item x="1049"/>
        <item x="83"/>
        <item x="22"/>
        <item x="1053"/>
        <item x="815"/>
        <item x="969"/>
        <item x="28"/>
        <item x="755"/>
        <item x="18"/>
        <item x="122"/>
        <item x="27"/>
        <item x="100"/>
        <item x="955"/>
        <item x="89"/>
        <item x="778"/>
        <item x="387"/>
        <item x="1185"/>
        <item x="367"/>
        <item x="75"/>
        <item x="938"/>
        <item x="427"/>
        <item x="127"/>
        <item x="756"/>
        <item x="140"/>
        <item x="952"/>
        <item x="865"/>
        <item x="6"/>
        <item x="137"/>
        <item x="469"/>
        <item x="1077"/>
        <item x="118"/>
        <item x="1018"/>
        <item x="1027"/>
        <item x="1156"/>
        <item x="903"/>
        <item x="107"/>
        <item x="1075"/>
        <item x="752"/>
        <item x="65"/>
        <item x="1143"/>
        <item x="91"/>
        <item x="1076"/>
        <item x="1191"/>
        <item x="129"/>
        <item x="1152"/>
        <item x="1020"/>
        <item x="228"/>
        <item x="79"/>
        <item x="824"/>
        <item x="131"/>
        <item x="88"/>
        <item x="931"/>
        <item x="17"/>
        <item x="1132"/>
        <item x="996"/>
        <item x="600"/>
        <item x="829"/>
        <item x="391"/>
        <item x="512"/>
        <item x="625"/>
        <item x="105"/>
        <item x="181"/>
        <item x="974"/>
        <item x="182"/>
        <item x="788"/>
        <item x="941"/>
        <item x="1036"/>
        <item x="57"/>
        <item x="799"/>
        <item x="53"/>
        <item x="1139"/>
        <item x="1061"/>
        <item x="456"/>
        <item x="233"/>
        <item x="514"/>
        <item x="1101"/>
        <item x="1059"/>
        <item x="836"/>
        <item x="1085"/>
        <item x="29"/>
        <item x="768"/>
        <item x="217"/>
        <item x="134"/>
        <item x="1157"/>
        <item x="1017"/>
        <item x="772"/>
        <item x="155"/>
        <item x="394"/>
        <item x="1000"/>
        <item x="1128"/>
        <item x="935"/>
        <item x="85"/>
        <item x="939"/>
        <item x="1174"/>
        <item x="172"/>
        <item x="141"/>
        <item x="309"/>
        <item x="258"/>
        <item x="136"/>
        <item x="928"/>
        <item x="332"/>
        <item x="463"/>
        <item x="875"/>
        <item x="262"/>
        <item x="750"/>
        <item x="110"/>
        <item x="537"/>
        <item x="1030"/>
        <item x="963"/>
        <item x="1115"/>
        <item x="552"/>
        <item x="878"/>
        <item x="978"/>
        <item x="753"/>
        <item x="861"/>
        <item x="96"/>
        <item x="142"/>
        <item x="894"/>
        <item x="1088"/>
        <item x="758"/>
        <item x="1127"/>
        <item x="404"/>
        <item x="796"/>
        <item x="41"/>
        <item x="1100"/>
        <item x="186"/>
        <item x="1120"/>
        <item x="466"/>
        <item x="1034"/>
        <item x="407"/>
        <item x="950"/>
        <item x="109"/>
        <item x="962"/>
        <item x="340"/>
        <item x="157"/>
        <item x="90"/>
        <item x="547"/>
        <item x="1062"/>
        <item x="987"/>
        <item x="1154"/>
        <item x="994"/>
        <item x="429"/>
        <item x="97"/>
        <item x="563"/>
        <item x="818"/>
        <item x="198"/>
        <item x="825"/>
        <item x="322"/>
        <item x="659"/>
        <item x="139"/>
        <item x="1158"/>
        <item x="1111"/>
        <item x="933"/>
        <item x="1146"/>
        <item x="864"/>
        <item x="184"/>
        <item x="789"/>
        <item x="1094"/>
        <item x="401"/>
        <item x="942"/>
        <item x="278"/>
        <item x="880"/>
        <item x="490"/>
        <item x="430"/>
        <item x="595"/>
        <item x="551"/>
        <item x="1164"/>
        <item x="46"/>
        <item x="860"/>
        <item x="241"/>
        <item x="797"/>
        <item x="761"/>
        <item x="187"/>
        <item x="642"/>
        <item x="1008"/>
        <item x="480"/>
        <item x="1195"/>
        <item x="841"/>
        <item x="897"/>
        <item x="133"/>
        <item x="196"/>
        <item x="597"/>
        <item x="1123"/>
        <item x="759"/>
        <item x="1098"/>
        <item x="827"/>
        <item x="1103"/>
        <item x="696"/>
        <item x="372"/>
        <item x="998"/>
        <item x="86"/>
        <item x="622"/>
        <item x="846"/>
        <item x="644"/>
        <item x="1192"/>
        <item x="1055"/>
        <item x="263"/>
        <item x="728"/>
        <item x="633"/>
        <item x="943"/>
        <item x="164"/>
        <item x="1025"/>
        <item x="1068"/>
        <item x="169"/>
        <item x="447"/>
        <item x="892"/>
        <item x="245"/>
        <item x="833"/>
        <item x="220"/>
        <item x="1087"/>
        <item x="654"/>
        <item x="67"/>
        <item x="968"/>
        <item x="288"/>
        <item x="689"/>
        <item x="690"/>
        <item x="1159"/>
        <item x="128"/>
        <item x="475"/>
        <item x="605"/>
        <item x="640"/>
        <item x="1028"/>
        <item x="1089"/>
        <item x="234"/>
        <item x="1067"/>
        <item x="498"/>
        <item x="720"/>
        <item x="705"/>
        <item x="662"/>
        <item x="71"/>
        <item x="207"/>
        <item x="400"/>
        <item x="1105"/>
        <item x="1102"/>
        <item x="144"/>
        <item x="1092"/>
        <item x="117"/>
        <item x="138"/>
        <item x="1096"/>
        <item x="857"/>
        <item x="1193"/>
        <item x="1019"/>
        <item x="300"/>
        <item x="697"/>
        <item x="661"/>
        <item x="98"/>
        <item x="523"/>
        <item x="981"/>
        <item x="821"/>
        <item x="103"/>
        <item x="737"/>
        <item x="549"/>
        <item x="616"/>
        <item x="843"/>
        <item x="959"/>
        <item x="1104"/>
        <item x="1078"/>
        <item x="1015"/>
        <item x="743"/>
        <item x="494"/>
        <item x="710"/>
        <item x="967"/>
        <item x="1095"/>
        <item x="237"/>
        <item x="634"/>
        <item x="415"/>
        <item x="793"/>
        <item x="863"/>
        <item x="1122"/>
        <item x="977"/>
        <item x="1130"/>
        <item x="1121"/>
        <item x="989"/>
        <item x="623"/>
        <item x="238"/>
        <item x="440"/>
        <item x="449"/>
        <item x="81"/>
        <item x="535"/>
        <item x="666"/>
        <item x="984"/>
        <item x="452"/>
        <item x="679"/>
        <item x="773"/>
        <item x="991"/>
        <item x="866"/>
        <item x="785"/>
        <item x="529"/>
        <item x="1114"/>
        <item x="113"/>
        <item x="621"/>
        <item x="302"/>
        <item x="425"/>
        <item x="206"/>
        <item x="483"/>
        <item x="779"/>
        <item x="847"/>
        <item x="1126"/>
        <item x="174"/>
        <item x="820"/>
        <item x="849"/>
        <item x="1026"/>
        <item x="801"/>
        <item x="468"/>
        <item x="343"/>
        <item x="1119"/>
        <item x="871"/>
        <item x="648"/>
        <item x="1112"/>
        <item x="250"/>
        <item x="306"/>
        <item x="1124"/>
        <item x="995"/>
        <item x="764"/>
        <item x="1176"/>
        <item x="1029"/>
        <item x="224"/>
        <item x="807"/>
        <item x="802"/>
        <item x="702"/>
        <item x="1190"/>
        <item x="655"/>
        <item x="180"/>
        <item x="889"/>
        <item x="629"/>
        <item x="559"/>
        <item x="1093"/>
        <item x="1113"/>
        <item x="1125"/>
        <item x="123"/>
        <item x="119"/>
        <item x="1149"/>
        <item x="1175"/>
        <item x="1097"/>
        <item x="145"/>
        <item x="1107"/>
        <item x="112"/>
        <item x="170"/>
        <item x="1169"/>
        <item x="166"/>
        <item x="410"/>
        <item x="1135"/>
        <item x="800"/>
        <item x="231"/>
        <item x="546"/>
        <item x="200"/>
        <item x="1116"/>
        <item x="1171"/>
        <item x="578"/>
        <item x="882"/>
        <item x="334"/>
        <item x="838"/>
        <item x="854"/>
        <item x="225"/>
        <item x="316"/>
        <item x="769"/>
        <item x="273"/>
        <item x="1162"/>
        <item x="594"/>
        <item x="1041"/>
        <item x="1183"/>
        <item x="1110"/>
        <item x="781"/>
        <item x="1172"/>
        <item x="637"/>
        <item x="1187"/>
        <item x="295"/>
        <item x="839"/>
        <item x="558"/>
        <item x="539"/>
        <item x="275"/>
        <item x="197"/>
        <item x="1141"/>
        <item x="804"/>
        <item x="460"/>
        <item x="1033"/>
        <item x="548"/>
        <item x="738"/>
        <item x="895"/>
        <item x="457"/>
        <item x="580"/>
        <item x="356"/>
        <item x="536"/>
        <item x="188"/>
        <item x="602"/>
        <item x="879"/>
        <item x="714"/>
        <item x="826"/>
        <item x="320"/>
        <item x="450"/>
        <item x="378"/>
        <item x="310"/>
        <item x="593"/>
        <item x="1144"/>
        <item x="805"/>
        <item x="379"/>
        <item x="726"/>
        <item x="676"/>
        <item x="286"/>
        <item x="1136"/>
        <item x="348"/>
        <item x="855"/>
        <item x="1044"/>
        <item x="312"/>
        <item x="822"/>
        <item x="530"/>
        <item x="282"/>
        <item x="178"/>
        <item x="192"/>
        <item x="734"/>
        <item x="388"/>
        <item x="511"/>
        <item x="1023"/>
        <item x="686"/>
        <item x="681"/>
        <item x="868"/>
        <item x="660"/>
        <item x="527"/>
        <item x="484"/>
        <item x="1161"/>
        <item x="564"/>
        <item x="398"/>
        <item x="470"/>
        <item x="397"/>
        <item x="668"/>
        <item x="812"/>
        <item x="553"/>
        <item x="219"/>
        <item x="620"/>
        <item x="366"/>
        <item x="147"/>
        <item x="635"/>
        <item x="403"/>
        <item x="657"/>
        <item x="614"/>
        <item x="809"/>
        <item x="1032"/>
        <item x="274"/>
        <item x="680"/>
        <item x="575"/>
        <item x="817"/>
        <item x="214"/>
        <item x="208"/>
        <item x="369"/>
        <item x="544"/>
        <item x="674"/>
        <item x="898"/>
        <item x="346"/>
        <item x="361"/>
        <item x="375"/>
        <item x="823"/>
        <item x="1042"/>
        <item x="380"/>
        <item x="806"/>
        <item x="298"/>
        <item x="719"/>
        <item x="266"/>
        <item x="1194"/>
        <item x="194"/>
        <item x="543"/>
        <item x="428"/>
        <item x="887"/>
        <item x="896"/>
        <item x="684"/>
        <item x="1166"/>
        <item x="405"/>
        <item x="845"/>
        <item x="534"/>
        <item x="515"/>
        <item x="748"/>
        <item x="540"/>
        <item x="1180"/>
        <item x="1165"/>
        <item x="562"/>
        <item x="837"/>
        <item x="521"/>
        <item x="709"/>
        <item x="418"/>
        <item x="852"/>
        <item x="444"/>
        <item x="325"/>
        <item x="293"/>
        <item x="722"/>
        <item x="830"/>
        <item x="856"/>
        <item x="695"/>
        <item x="358"/>
        <item x="257"/>
        <item x="667"/>
        <item x="712"/>
        <item x="424"/>
        <item x="363"/>
        <item x="384"/>
        <item x="682"/>
        <item x="189"/>
        <item x="227"/>
        <item x="1184"/>
        <item x="426"/>
        <item x="528"/>
        <item x="341"/>
        <item x="437"/>
        <item x="420"/>
        <item x="519"/>
        <item x="890"/>
        <item x="342"/>
        <item x="393"/>
        <item x="213"/>
        <item x="321"/>
        <item x="704"/>
        <item x="885"/>
        <item x="884"/>
        <item x="703"/>
        <item x="382"/>
        <item x="643"/>
        <item x="869"/>
        <item x="212"/>
        <item x="319"/>
        <item x="516"/>
        <item x="700"/>
        <item x="303"/>
        <item x="630"/>
        <item x="458"/>
        <item x="445"/>
        <item x="899"/>
        <item x="179"/>
        <item x="168"/>
        <item x="872"/>
        <item x="496"/>
        <item x="688"/>
        <item x="269"/>
        <item x="671"/>
        <item x="173"/>
        <item x="441"/>
        <item x="717"/>
        <item x="532"/>
        <item x="711"/>
        <item x="439"/>
        <item x="739"/>
        <item x="603"/>
        <item x="326"/>
        <item x="610"/>
        <item x="669"/>
        <item x="150"/>
        <item x="574"/>
        <item x="160"/>
        <item x="335"/>
        <item x="324"/>
        <item x="351"/>
        <item x="349"/>
        <item x="859"/>
        <item x="706"/>
        <item x="260"/>
        <item x="612"/>
        <item x="586"/>
        <item x="247"/>
        <item x="877"/>
        <item x="377"/>
        <item x="545"/>
        <item x="307"/>
        <item x="438"/>
        <item x="685"/>
        <item x="396"/>
        <item x="646"/>
        <item x="663"/>
        <item x="291"/>
        <item x="202"/>
        <item x="881"/>
        <item x="873"/>
        <item x="402"/>
        <item x="565"/>
        <item x="350"/>
        <item x="731"/>
        <item x="495"/>
        <item x="653"/>
        <item x="491"/>
        <item x="618"/>
        <item x="176"/>
        <item x="413"/>
        <item x="641"/>
        <item x="599"/>
        <item x="893"/>
        <item x="479"/>
        <item x="609"/>
        <item x="360"/>
        <item x="287"/>
        <item x="276"/>
        <item x="255"/>
        <item x="392"/>
        <item x="328"/>
        <item x="243"/>
        <item x="315"/>
        <item x="723"/>
        <item x="526"/>
        <item x="524"/>
        <item x="264"/>
        <item x="354"/>
        <item x="673"/>
        <item x="698"/>
        <item x="601"/>
        <item x="330"/>
        <item x="749"/>
        <item x="281"/>
        <item x="368"/>
        <item x="268"/>
        <item x="290"/>
        <item x="344"/>
        <item x="652"/>
        <item x="221"/>
        <item x="185"/>
        <item x="433"/>
        <item x="434"/>
        <item x="596"/>
        <item x="183"/>
        <item x="240"/>
        <item x="718"/>
        <item x="448"/>
        <item x="638"/>
        <item x="567"/>
        <item x="151"/>
        <item x="627"/>
        <item x="285"/>
        <item x="628"/>
        <item x="598"/>
        <item x="390"/>
        <item x="409"/>
        <item x="454"/>
        <item x="191"/>
        <item x="338"/>
        <item x="339"/>
        <item x="745"/>
        <item x="259"/>
        <item x="541"/>
        <item x="357"/>
        <item x="271"/>
        <item x="493"/>
        <item x="431"/>
        <item x="488"/>
        <item x="374"/>
        <item x="713"/>
        <item x="159"/>
        <item x="305"/>
        <item x="664"/>
        <item x="376"/>
        <item x="222"/>
        <item x="446"/>
        <item x="499"/>
        <item x="333"/>
        <item x="503"/>
        <item x="154"/>
        <item x="555"/>
        <item x="453"/>
        <item x="422"/>
        <item x="371"/>
        <item x="473"/>
        <item x="725"/>
        <item x="443"/>
        <item x="636"/>
        <item x="156"/>
        <item x="311"/>
        <item x="383"/>
        <item x="270"/>
        <item x="740"/>
        <item x="510"/>
        <item x="203"/>
        <item x="464"/>
        <item x="177"/>
        <item x="161"/>
        <item x="210"/>
        <item x="304"/>
        <item x="385"/>
        <item x="308"/>
        <item x="216"/>
        <item x="362"/>
        <item x="432"/>
        <item x="585"/>
        <item x="370"/>
        <item x="283"/>
        <item x="359"/>
        <item x="152"/>
        <item x="421"/>
        <item x="617"/>
        <item x="517"/>
        <item x="589"/>
        <item x="158"/>
        <item x="261"/>
        <item x="251"/>
        <item x="471"/>
        <item x="345"/>
        <item x="301"/>
        <item x="492"/>
        <item x="284"/>
        <item x="292"/>
        <item x="455"/>
        <item x="381"/>
        <item x="508"/>
        <item x="592"/>
        <item x="632"/>
        <item x="693"/>
        <item x="165"/>
        <item x="364"/>
        <item x="554"/>
        <item x="482"/>
        <item x="506"/>
        <item x="744"/>
        <item x="518"/>
        <item x="294"/>
        <item x="656"/>
        <item x="353"/>
        <item x="153"/>
        <item x="542"/>
        <item x="336"/>
        <item x="199"/>
        <item x="419"/>
        <item x="175"/>
        <item x="485"/>
        <item x="487"/>
        <item x="190"/>
        <item x="352"/>
        <item x="211"/>
        <item x="389"/>
        <item x="235"/>
        <item x="591"/>
        <item x="355"/>
        <item x="584"/>
        <item x="476"/>
        <item x="451"/>
        <item x="236"/>
        <item x="408"/>
        <item x="504"/>
        <item x="481"/>
        <item x="501"/>
        <item x="395"/>
        <item x="721"/>
        <item x="588"/>
        <item x="467"/>
        <item x="607"/>
        <item x="513"/>
        <item x="746"/>
        <item x="267"/>
        <item x="465"/>
        <item x="497"/>
        <item x="365"/>
        <item x="566"/>
        <item x="735"/>
        <item x="729"/>
        <item x="683"/>
        <item x="253"/>
        <item x="232"/>
        <item x="167"/>
        <item x="171"/>
        <item x="280"/>
        <item x="417"/>
        <item x="538"/>
        <item x="665"/>
        <item x="347"/>
        <item x="242"/>
        <item x="205"/>
        <item x="500"/>
        <item x="486"/>
        <item x="489"/>
        <item x="412"/>
        <item x="730"/>
        <item x="533"/>
        <item x="509"/>
        <item x="557"/>
        <item x="436"/>
        <item x="727"/>
        <item x="386"/>
        <item x="626"/>
        <item x="472"/>
        <item x="223"/>
        <item x="507"/>
        <item x="561"/>
        <item x="435"/>
        <item x="672"/>
        <item x="583"/>
        <item x="248"/>
        <item x="650"/>
        <item x="373"/>
        <item x="631"/>
        <item x="209"/>
        <item x="570"/>
        <item x="608"/>
        <item x="579"/>
        <item x="299"/>
        <item x="162"/>
        <item x="604"/>
        <item x="218"/>
        <item x="163"/>
        <item x="406"/>
        <item x="613"/>
        <item x="649"/>
        <item x="699"/>
        <item x="249"/>
        <item x="677"/>
        <item x="414"/>
        <item x="573"/>
        <item x="606"/>
        <item x="215"/>
        <item x="289"/>
        <item x="502"/>
        <item x="462"/>
        <item x="708"/>
        <item x="229"/>
        <item x="577"/>
        <item x="423"/>
        <item x="416"/>
        <item x="694"/>
        <item x="204"/>
        <item x="675"/>
        <item x="645"/>
        <item x="459"/>
        <item x="531"/>
        <item x="715"/>
        <item x="461"/>
        <item x="399"/>
        <item x="477"/>
        <item x="615"/>
        <item x="611"/>
        <item x="272"/>
        <item x="411"/>
        <item x="670"/>
        <item x="474"/>
        <item x="442"/>
        <item x="624"/>
        <item x="226"/>
        <item x="505"/>
        <item x="478"/>
        <item x="525"/>
        <item x="582"/>
        <item x="619"/>
        <item x="256"/>
        <item x="252"/>
        <item x="550"/>
        <item x="193"/>
        <item x="195"/>
        <item x="556"/>
        <item x="733"/>
        <item x="201"/>
        <item x="244"/>
        <item x="678"/>
        <item x="568"/>
        <item x="520"/>
        <item x="522"/>
        <item x="246"/>
        <item x="230"/>
        <item x="651"/>
        <item x="747"/>
        <item x="639"/>
        <item x="741"/>
        <item x="687"/>
        <item x="691"/>
        <item x="647"/>
        <item x="254"/>
        <item x="277"/>
        <item x="239"/>
        <item x="724"/>
        <item x="736"/>
        <item x="658"/>
        <item x="701"/>
        <item x="265"/>
        <item x="707"/>
        <item x="569"/>
        <item x="560"/>
        <item x="279"/>
        <item x="572"/>
        <item x="297"/>
        <item x="590"/>
        <item x="576"/>
        <item x="571"/>
        <item x="692"/>
        <item x="296"/>
        <item x="587"/>
        <item x="581"/>
        <item x="716"/>
        <item x="732"/>
        <item x="742"/>
        <item t="default"/>
      </items>
    </pivotField>
    <pivotField dataField="1" showAll="0">
      <items count="1201">
        <item x="3"/>
        <item x="4"/>
        <item x="5"/>
        <item x="8"/>
        <item x="7"/>
        <item x="904"/>
        <item x="11"/>
        <item x="16"/>
        <item x="6"/>
        <item x="0"/>
        <item x="903"/>
        <item x="9"/>
        <item x="23"/>
        <item x="13"/>
        <item x="17"/>
        <item x="917"/>
        <item x="18"/>
        <item x="924"/>
        <item x="32"/>
        <item x="919"/>
        <item x="910"/>
        <item x="31"/>
        <item x="19"/>
        <item x="923"/>
        <item x="14"/>
        <item x="902"/>
        <item x="24"/>
        <item x="42"/>
        <item x="37"/>
        <item x="920"/>
        <item x="22"/>
        <item x="921"/>
        <item x="20"/>
        <item x="905"/>
        <item x="930"/>
        <item x="40"/>
        <item x="914"/>
        <item x="929"/>
        <item x="938"/>
        <item x="49"/>
        <item x="15"/>
        <item x="26"/>
        <item x="927"/>
        <item x="1"/>
        <item x="10"/>
        <item x="2"/>
        <item x="39"/>
        <item x="36"/>
        <item x="1050"/>
        <item x="908"/>
        <item x="53"/>
        <item x="900"/>
        <item x="906"/>
        <item x="38"/>
        <item x="901"/>
        <item x="27"/>
        <item x="1057"/>
        <item x="12"/>
        <item x="925"/>
        <item x="1063"/>
        <item x="909"/>
        <item x="1072"/>
        <item x="911"/>
        <item x="1058"/>
        <item x="29"/>
        <item x="34"/>
        <item x="959"/>
        <item x="953"/>
        <item x="60"/>
        <item x="928"/>
        <item x="915"/>
        <item x="1056"/>
        <item x="918"/>
        <item x="957"/>
        <item x="934"/>
        <item x="931"/>
        <item x="54"/>
        <item x="76"/>
        <item x="933"/>
        <item x="907"/>
        <item x="77"/>
        <item x="1083"/>
        <item x="47"/>
        <item x="1054"/>
        <item x="1069"/>
        <item x="64"/>
        <item x="936"/>
        <item x="1071"/>
        <item x="30"/>
        <item x="25"/>
        <item x="966"/>
        <item x="55"/>
        <item x="70"/>
        <item x="962"/>
        <item x="33"/>
        <item x="48"/>
        <item x="21"/>
        <item x="35"/>
        <item x="950"/>
        <item x="1053"/>
        <item x="1051"/>
        <item x="912"/>
        <item x="942"/>
        <item x="968"/>
        <item x="1066"/>
        <item x="43"/>
        <item x="913"/>
        <item x="926"/>
        <item x="949"/>
        <item x="51"/>
        <item x="754"/>
        <item x="948"/>
        <item x="973"/>
        <item x="964"/>
        <item x="954"/>
        <item x="1074"/>
        <item x="755"/>
        <item x="46"/>
        <item x="1055"/>
        <item x="916"/>
        <item x="1061"/>
        <item x="50"/>
        <item x="922"/>
        <item x="94"/>
        <item x="935"/>
        <item x="28"/>
        <item x="932"/>
        <item x="944"/>
        <item x="96"/>
        <item x="65"/>
        <item x="1064"/>
        <item x="1062"/>
        <item x="85"/>
        <item x="972"/>
        <item x="1067"/>
        <item x="1082"/>
        <item x="985"/>
        <item x="89"/>
        <item x="63"/>
        <item x="1103"/>
        <item x="1089"/>
        <item x="939"/>
        <item x="1070"/>
        <item x="1086"/>
        <item x="766"/>
        <item x="980"/>
        <item x="945"/>
        <item x="991"/>
        <item x="760"/>
        <item x="772"/>
        <item x="1079"/>
        <item x="941"/>
        <item x="937"/>
        <item x="41"/>
        <item x="1093"/>
        <item x="1085"/>
        <item x="986"/>
        <item x="104"/>
        <item x="69"/>
        <item x="58"/>
        <item x="943"/>
        <item x="775"/>
        <item x="44"/>
        <item x="1099"/>
        <item x="83"/>
        <item x="993"/>
        <item x="45"/>
        <item x="56"/>
        <item x="952"/>
        <item x="1052"/>
        <item x="68"/>
        <item x="52"/>
        <item x="98"/>
        <item x="940"/>
        <item x="978"/>
        <item x="74"/>
        <item x="1100"/>
        <item x="774"/>
        <item x="776"/>
        <item x="115"/>
        <item x="947"/>
        <item x="762"/>
        <item x="1121"/>
        <item x="1017"/>
        <item x="1078"/>
        <item x="67"/>
        <item x="72"/>
        <item x="956"/>
        <item x="958"/>
        <item x="773"/>
        <item x="91"/>
        <item x="61"/>
        <item x="989"/>
        <item x="1084"/>
        <item x="80"/>
        <item x="1007"/>
        <item x="59"/>
        <item x="1108"/>
        <item x="1105"/>
        <item x="757"/>
        <item x="102"/>
        <item x="84"/>
        <item x="57"/>
        <item x="1073"/>
        <item x="976"/>
        <item x="105"/>
        <item x="987"/>
        <item x="1068"/>
        <item x="752"/>
        <item x="983"/>
        <item x="1096"/>
        <item x="1097"/>
        <item x="92"/>
        <item x="126"/>
        <item x="979"/>
        <item x="79"/>
        <item x="946"/>
        <item x="751"/>
        <item x="1002"/>
        <item x="1091"/>
        <item x="118"/>
        <item x="1013"/>
        <item x="1060"/>
        <item x="997"/>
        <item x="87"/>
        <item x="961"/>
        <item x="1016"/>
        <item x="750"/>
        <item x="73"/>
        <item x="1104"/>
        <item x="1127"/>
        <item x="1116"/>
        <item x="990"/>
        <item x="101"/>
        <item x="1077"/>
        <item x="780"/>
        <item x="1065"/>
        <item x="1059"/>
        <item x="90"/>
        <item x="996"/>
        <item x="761"/>
        <item x="1075"/>
        <item x="124"/>
        <item x="984"/>
        <item x="951"/>
        <item x="71"/>
        <item x="970"/>
        <item x="967"/>
        <item x="66"/>
        <item x="1106"/>
        <item x="758"/>
        <item x="62"/>
        <item x="103"/>
        <item x="1035"/>
        <item x="1009"/>
        <item x="765"/>
        <item x="960"/>
        <item x="965"/>
        <item x="116"/>
        <item x="988"/>
        <item x="78"/>
        <item x="955"/>
        <item x="1144"/>
        <item x="1095"/>
        <item x="974"/>
        <item x="982"/>
        <item x="753"/>
        <item x="95"/>
        <item x="778"/>
        <item x="131"/>
        <item x="137"/>
        <item x="1088"/>
        <item x="1076"/>
        <item x="1115"/>
        <item x="1080"/>
        <item x="133"/>
        <item x="792"/>
        <item x="998"/>
        <item x="1026"/>
        <item x="1039"/>
        <item x="1045"/>
        <item x="1117"/>
        <item x="969"/>
        <item x="963"/>
        <item x="1092"/>
        <item x="1138"/>
        <item x="113"/>
        <item x="813"/>
        <item x="1120"/>
        <item x="781"/>
        <item x="770"/>
        <item x="1004"/>
        <item x="1152"/>
        <item x="810"/>
        <item x="1044"/>
        <item x="97"/>
        <item x="771"/>
        <item x="787"/>
        <item x="1032"/>
        <item x="763"/>
        <item x="88"/>
        <item x="1098"/>
        <item x="75"/>
        <item x="1081"/>
        <item x="138"/>
        <item x="81"/>
        <item x="777"/>
        <item x="1125"/>
        <item x="1132"/>
        <item x="1010"/>
        <item x="1147"/>
        <item x="1037"/>
        <item x="768"/>
        <item x="1000"/>
        <item x="1024"/>
        <item x="756"/>
        <item x="975"/>
        <item x="1028"/>
        <item x="981"/>
        <item x="141"/>
        <item x="121"/>
        <item x="1087"/>
        <item x="1036"/>
        <item x="145"/>
        <item x="82"/>
        <item x="142"/>
        <item x="1111"/>
        <item x="1128"/>
        <item x="790"/>
        <item x="1014"/>
        <item x="1034"/>
        <item x="819"/>
        <item x="129"/>
        <item x="1151"/>
        <item x="148"/>
        <item x="1003"/>
        <item x="1049"/>
        <item x="788"/>
        <item x="1006"/>
        <item x="1135"/>
        <item x="1090"/>
        <item x="826"/>
        <item x="1175"/>
        <item x="1112"/>
        <item x="971"/>
        <item x="1126"/>
        <item x="994"/>
        <item x="1140"/>
        <item x="86"/>
        <item x="1156"/>
        <item x="140"/>
        <item x="1012"/>
        <item x="793"/>
        <item x="1101"/>
        <item x="796"/>
        <item x="93"/>
        <item x="1102"/>
        <item x="1109"/>
        <item x="114"/>
        <item x="783"/>
        <item x="977"/>
        <item x="1123"/>
        <item x="108"/>
        <item x="1018"/>
        <item x="1114"/>
        <item x="134"/>
        <item x="120"/>
        <item x="1131"/>
        <item x="800"/>
        <item x="807"/>
        <item x="1107"/>
        <item x="146"/>
        <item x="759"/>
        <item x="803"/>
        <item x="1022"/>
        <item x="801"/>
        <item x="99"/>
        <item x="1150"/>
        <item x="1145"/>
        <item x="786"/>
        <item x="109"/>
        <item x="1165"/>
        <item x="782"/>
        <item x="798"/>
        <item x="1094"/>
        <item x="100"/>
        <item x="1133"/>
        <item x="1162"/>
        <item x="836"/>
        <item x="811"/>
        <item x="123"/>
        <item x="127"/>
        <item x="1187"/>
        <item x="1155"/>
        <item x="1122"/>
        <item x="110"/>
        <item x="1008"/>
        <item x="999"/>
        <item x="992"/>
        <item x="1025"/>
        <item x="767"/>
        <item x="1174"/>
        <item x="107"/>
        <item x="1046"/>
        <item x="1183"/>
        <item x="125"/>
        <item x="1196"/>
        <item x="1171"/>
        <item x="1001"/>
        <item x="764"/>
        <item x="1143"/>
        <item x="1146"/>
        <item x="1168"/>
        <item x="823"/>
        <item x="111"/>
        <item x="995"/>
        <item x="1173"/>
        <item x="1129"/>
        <item x="1021"/>
        <item x="112"/>
        <item x="785"/>
        <item x="1110"/>
        <item x="794"/>
        <item x="1011"/>
        <item x="106"/>
        <item x="769"/>
        <item x="853"/>
        <item x="1029"/>
        <item x="1130"/>
        <item x="1041"/>
        <item x="820"/>
        <item x="1005"/>
        <item x="802"/>
        <item x="119"/>
        <item x="839"/>
        <item x="1015"/>
        <item x="128"/>
        <item x="1186"/>
        <item x="1190"/>
        <item x="1019"/>
        <item x="1170"/>
        <item x="1020"/>
        <item x="808"/>
        <item x="814"/>
        <item x="130"/>
        <item x="1177"/>
        <item x="851"/>
        <item x="1033"/>
        <item x="117"/>
        <item x="1134"/>
        <item x="837"/>
        <item x="1113"/>
        <item x="824"/>
        <item x="1031"/>
        <item x="1160"/>
        <item x="850"/>
        <item x="144"/>
        <item x="1043"/>
        <item x="1164"/>
        <item x="1118"/>
        <item x="1119"/>
        <item x="1137"/>
        <item x="779"/>
        <item x="149"/>
        <item x="791"/>
        <item x="122"/>
        <item x="1048"/>
        <item x="834"/>
        <item x="1157"/>
        <item x="799"/>
        <item x="784"/>
        <item x="1141"/>
        <item x="1124"/>
        <item x="795"/>
        <item x="1023"/>
        <item x="1191"/>
        <item x="877"/>
        <item x="865"/>
        <item x="815"/>
        <item x="1030"/>
        <item x="139"/>
        <item x="147"/>
        <item x="858"/>
        <item x="1169"/>
        <item x="132"/>
        <item x="1172"/>
        <item x="1139"/>
        <item x="876"/>
        <item x="789"/>
        <item x="833"/>
        <item x="1159"/>
        <item x="1153"/>
        <item x="1042"/>
        <item x="143"/>
        <item x="1027"/>
        <item x="827"/>
        <item x="1167"/>
        <item x="809"/>
        <item x="860"/>
        <item x="845"/>
        <item x="1136"/>
        <item x="832"/>
        <item x="804"/>
        <item x="1142"/>
        <item x="797"/>
        <item x="855"/>
        <item x="135"/>
        <item x="1040"/>
        <item x="136"/>
        <item x="1188"/>
        <item x="1038"/>
        <item x="1161"/>
        <item x="854"/>
        <item x="857"/>
        <item x="864"/>
        <item x="1158"/>
        <item x="1148"/>
        <item x="1180"/>
        <item x="1047"/>
        <item x="825"/>
        <item x="1163"/>
        <item x="838"/>
        <item x="812"/>
        <item x="1198"/>
        <item x="1199"/>
        <item x="859"/>
        <item x="1189"/>
        <item x="817"/>
        <item x="1166"/>
        <item x="1179"/>
        <item x="1149"/>
        <item x="880"/>
        <item x="872"/>
        <item x="884"/>
        <item x="805"/>
        <item x="806"/>
        <item x="897"/>
        <item x="816"/>
        <item x="844"/>
        <item x="822"/>
        <item x="1154"/>
        <item x="818"/>
        <item x="870"/>
        <item x="867"/>
        <item x="871"/>
        <item x="874"/>
        <item x="885"/>
        <item x="828"/>
        <item x="842"/>
        <item x="821"/>
        <item x="830"/>
        <item x="869"/>
        <item x="849"/>
        <item x="1185"/>
        <item x="1193"/>
        <item x="1194"/>
        <item x="1182"/>
        <item x="1176"/>
        <item x="829"/>
        <item x="841"/>
        <item x="1197"/>
        <item x="1178"/>
        <item x="896"/>
        <item x="831"/>
        <item x="866"/>
        <item x="890"/>
        <item x="840"/>
        <item x="898"/>
        <item x="868"/>
        <item x="1181"/>
        <item x="1184"/>
        <item x="846"/>
        <item x="1195"/>
        <item x="848"/>
        <item x="835"/>
        <item x="856"/>
        <item x="847"/>
        <item x="1192"/>
        <item x="883"/>
        <item x="888"/>
        <item x="843"/>
        <item x="889"/>
        <item x="899"/>
        <item x="861"/>
        <item x="862"/>
        <item x="852"/>
        <item x="878"/>
        <item x="886"/>
        <item x="891"/>
        <item x="863"/>
        <item x="895"/>
        <item x="881"/>
        <item x="882"/>
        <item x="873"/>
        <item x="892"/>
        <item x="875"/>
        <item x="879"/>
        <item x="309"/>
        <item x="893"/>
        <item x="307"/>
        <item x="887"/>
        <item x="308"/>
        <item x="894"/>
        <item x="323"/>
        <item x="336"/>
        <item x="301"/>
        <item x="306"/>
        <item x="354"/>
        <item x="344"/>
        <item x="302"/>
        <item x="362"/>
        <item x="322"/>
        <item x="345"/>
        <item x="324"/>
        <item x="310"/>
        <item x="300"/>
        <item x="317"/>
        <item x="360"/>
        <item x="152"/>
        <item x="386"/>
        <item x="343"/>
        <item x="377"/>
        <item x="375"/>
        <item x="316"/>
        <item x="352"/>
        <item x="325"/>
        <item x="162"/>
        <item x="313"/>
        <item x="367"/>
        <item x="164"/>
        <item x="372"/>
        <item x="392"/>
        <item x="157"/>
        <item x="312"/>
        <item x="351"/>
        <item x="462"/>
        <item x="338"/>
        <item x="321"/>
        <item x="329"/>
        <item x="378"/>
        <item x="371"/>
        <item x="452"/>
        <item x="601"/>
        <item x="348"/>
        <item x="331"/>
        <item x="163"/>
        <item x="150"/>
        <item x="170"/>
        <item x="327"/>
        <item x="391"/>
        <item x="182"/>
        <item x="395"/>
        <item x="303"/>
        <item x="190"/>
        <item x="382"/>
        <item x="370"/>
        <item x="357"/>
        <item x="196"/>
        <item x="179"/>
        <item x="180"/>
        <item x="166"/>
        <item x="413"/>
        <item x="612"/>
        <item x="401"/>
        <item x="208"/>
        <item x="427"/>
        <item x="381"/>
        <item x="167"/>
        <item x="422"/>
        <item x="314"/>
        <item x="347"/>
        <item x="451"/>
        <item x="489"/>
        <item x="411"/>
        <item x="318"/>
        <item x="466"/>
        <item x="366"/>
        <item x="417"/>
        <item x="304"/>
        <item x="380"/>
        <item x="394"/>
        <item x="364"/>
        <item x="399"/>
        <item x="428"/>
        <item x="365"/>
        <item x="419"/>
        <item x="159"/>
        <item x="319"/>
        <item x="153"/>
        <item x="332"/>
        <item x="464"/>
        <item x="467"/>
        <item x="503"/>
        <item x="342"/>
        <item x="400"/>
        <item x="315"/>
        <item x="444"/>
        <item x="407"/>
        <item x="305"/>
        <item x="158"/>
        <item x="631"/>
        <item x="326"/>
        <item x="339"/>
        <item x="328"/>
        <item x="223"/>
        <item x="320"/>
        <item x="334"/>
        <item x="193"/>
        <item x="404"/>
        <item x="405"/>
        <item x="472"/>
        <item x="197"/>
        <item x="201"/>
        <item x="311"/>
        <item x="333"/>
        <item x="358"/>
        <item x="415"/>
        <item x="335"/>
        <item x="600"/>
        <item x="337"/>
        <item x="341"/>
        <item x="383"/>
        <item x="398"/>
        <item x="200"/>
        <item x="397"/>
        <item x="346"/>
        <item x="353"/>
        <item x="640"/>
        <item x="181"/>
        <item x="614"/>
        <item x="619"/>
        <item x="602"/>
        <item x="476"/>
        <item x="176"/>
        <item x="177"/>
        <item x="492"/>
        <item x="502"/>
        <item x="414"/>
        <item x="430"/>
        <item x="359"/>
        <item x="376"/>
        <item x="213"/>
        <item x="330"/>
        <item x="340"/>
        <item x="151"/>
        <item x="186"/>
        <item x="481"/>
        <item x="418"/>
        <item x="189"/>
        <item x="356"/>
        <item x="212"/>
        <item x="523"/>
        <item x="350"/>
        <item x="165"/>
        <item x="446"/>
        <item x="445"/>
        <item x="605"/>
        <item x="506"/>
        <item x="266"/>
        <item x="653"/>
        <item x="244"/>
        <item x="267"/>
        <item x="485"/>
        <item x="424"/>
        <item x="220"/>
        <item x="215"/>
        <item x="639"/>
        <item x="655"/>
        <item x="459"/>
        <item x="607"/>
        <item x="547"/>
        <item x="470"/>
        <item x="155"/>
        <item x="645"/>
        <item x="555"/>
        <item x="211"/>
        <item x="409"/>
        <item x="368"/>
        <item x="670"/>
        <item x="541"/>
        <item x="471"/>
        <item x="258"/>
        <item x="429"/>
        <item x="644"/>
        <item x="546"/>
        <item x="615"/>
        <item x="156"/>
        <item x="618"/>
        <item x="283"/>
        <item x="505"/>
        <item x="641"/>
        <item x="169"/>
        <item x="349"/>
        <item x="421"/>
        <item x="361"/>
        <item x="659"/>
        <item x="490"/>
        <item x="173"/>
        <item x="494"/>
        <item x="478"/>
        <item x="458"/>
        <item x="406"/>
        <item x="530"/>
        <item x="561"/>
        <item x="545"/>
        <item x="454"/>
        <item x="637"/>
        <item x="456"/>
        <item x="274"/>
        <item x="559"/>
        <item x="603"/>
        <item x="671"/>
        <item x="355"/>
        <item x="501"/>
        <item x="508"/>
        <item x="627"/>
        <item x="650"/>
        <item x="285"/>
        <item x="194"/>
        <item x="635"/>
        <item x="245"/>
        <item x="524"/>
        <item x="232"/>
        <item x="174"/>
        <item x="438"/>
        <item x="539"/>
        <item x="230"/>
        <item x="441"/>
        <item x="222"/>
        <item x="402"/>
        <item x="685"/>
        <item x="403"/>
        <item x="369"/>
        <item x="521"/>
        <item x="216"/>
        <item x="224"/>
        <item x="571"/>
        <item x="487"/>
        <item x="527"/>
        <item x="570"/>
        <item x="388"/>
        <item x="261"/>
        <item x="379"/>
        <item x="457"/>
        <item x="648"/>
        <item x="518"/>
        <item x="609"/>
        <item x="551"/>
        <item x="241"/>
        <item x="604"/>
        <item x="666"/>
        <item x="622"/>
        <item x="486"/>
        <item x="460"/>
        <item x="252"/>
        <item x="175"/>
        <item x="576"/>
        <item x="496"/>
        <item x="440"/>
        <item x="509"/>
        <item x="436"/>
        <item x="437"/>
        <item x="363"/>
        <item x="531"/>
        <item x="408"/>
        <item x="183"/>
        <item x="638"/>
        <item x="373"/>
        <item x="384"/>
        <item x="461"/>
        <item x="206"/>
        <item x="513"/>
        <item x="432"/>
        <item x="168"/>
        <item x="276"/>
        <item x="297"/>
        <item x="468"/>
        <item x="412"/>
        <item x="533"/>
        <item x="172"/>
        <item x="699"/>
        <item x="450"/>
        <item x="491"/>
        <item x="187"/>
        <item x="393"/>
        <item x="675"/>
        <item x="578"/>
        <item x="572"/>
        <item x="426"/>
        <item x="656"/>
        <item x="525"/>
        <item x="253"/>
        <item x="188"/>
        <item x="273"/>
        <item x="284"/>
        <item x="255"/>
        <item x="592"/>
        <item x="488"/>
        <item x="667"/>
        <item x="553"/>
        <item x="251"/>
        <item x="385"/>
        <item x="477"/>
        <item x="442"/>
        <item x="192"/>
        <item x="374"/>
        <item x="613"/>
        <item x="510"/>
        <item x="516"/>
        <item x="390"/>
        <item x="678"/>
        <item x="217"/>
        <item x="683"/>
        <item x="608"/>
        <item x="299"/>
        <item x="633"/>
        <item x="298"/>
        <item x="154"/>
        <item x="219"/>
        <item x="484"/>
        <item x="665"/>
        <item x="264"/>
        <item x="473"/>
        <item x="682"/>
        <item x="579"/>
        <item x="228"/>
        <item x="556"/>
        <item x="625"/>
        <item x="636"/>
        <item x="586"/>
        <item x="593"/>
        <item x="723"/>
        <item x="453"/>
        <item x="707"/>
        <item x="295"/>
        <item x="238"/>
        <item x="493"/>
        <item x="207"/>
        <item x="549"/>
        <item x="606"/>
        <item x="396"/>
        <item x="621"/>
        <item x="599"/>
        <item x="661"/>
        <item x="626"/>
        <item x="455"/>
        <item x="161"/>
        <item x="279"/>
        <item x="263"/>
        <item x="595"/>
        <item x="594"/>
        <item x="611"/>
        <item x="663"/>
        <item x="389"/>
        <item x="236"/>
        <item x="387"/>
        <item x="420"/>
        <item x="646"/>
        <item x="700"/>
        <item x="482"/>
        <item x="160"/>
        <item x="239"/>
        <item x="257"/>
        <item x="410"/>
        <item x="171"/>
        <item x="191"/>
        <item x="610"/>
        <item x="715"/>
        <item x="431"/>
        <item x="439"/>
        <item x="722"/>
        <item x="425"/>
        <item x="242"/>
        <item x="616"/>
        <item x="198"/>
        <item x="469"/>
        <item x="716"/>
        <item x="500"/>
        <item x="690"/>
        <item x="178"/>
        <item x="265"/>
        <item x="433"/>
        <item x="480"/>
        <item x="449"/>
        <item x="507"/>
        <item x="443"/>
        <item x="499"/>
        <item x="564"/>
        <item x="732"/>
        <item x="203"/>
        <item x="504"/>
        <item x="463"/>
        <item x="465"/>
        <item x="537"/>
        <item x="205"/>
        <item x="423"/>
        <item x="296"/>
        <item x="434"/>
        <item x="278"/>
        <item x="741"/>
        <item x="657"/>
        <item x="643"/>
        <item x="597"/>
        <item x="718"/>
        <item x="694"/>
        <item x="202"/>
        <item x="672"/>
        <item x="588"/>
        <item x="495"/>
        <item x="673"/>
        <item x="184"/>
        <item x="702"/>
        <item x="256"/>
        <item x="680"/>
        <item x="748"/>
        <item x="512"/>
        <item x="185"/>
        <item x="686"/>
        <item x="747"/>
        <item x="497"/>
        <item x="195"/>
        <item x="416"/>
        <item x="535"/>
        <item x="511"/>
        <item x="233"/>
        <item x="475"/>
        <item x="517"/>
        <item x="629"/>
        <item x="479"/>
        <item x="199"/>
        <item x="739"/>
        <item x="249"/>
        <item x="529"/>
        <item x="515"/>
        <item x="277"/>
        <item x="474"/>
        <item x="647"/>
        <item x="210"/>
        <item x="522"/>
        <item x="729"/>
        <item x="695"/>
        <item x="226"/>
        <item x="270"/>
        <item x="552"/>
        <item x="711"/>
        <item x="651"/>
        <item x="218"/>
        <item x="569"/>
        <item x="658"/>
        <item x="448"/>
        <item x="483"/>
        <item x="214"/>
        <item x="676"/>
        <item x="534"/>
        <item x="204"/>
        <item x="691"/>
        <item x="262"/>
        <item x="435"/>
        <item x="519"/>
        <item x="536"/>
        <item x="669"/>
        <item x="701"/>
        <item x="281"/>
        <item x="514"/>
        <item x="227"/>
        <item x="581"/>
        <item x="221"/>
        <item x="532"/>
        <item x="726"/>
        <item x="617"/>
        <item x="730"/>
        <item x="620"/>
        <item x="720"/>
        <item x="550"/>
        <item x="568"/>
        <item x="528"/>
        <item x="649"/>
        <item x="209"/>
        <item x="708"/>
        <item x="268"/>
        <item x="259"/>
        <item x="713"/>
        <item x="630"/>
        <item x="624"/>
        <item x="596"/>
        <item x="231"/>
        <item x="557"/>
        <item x="590"/>
        <item x="250"/>
        <item x="623"/>
        <item x="634"/>
        <item x="642"/>
        <item x="520"/>
        <item x="632"/>
        <item x="498"/>
        <item x="548"/>
        <item x="567"/>
        <item x="721"/>
        <item x="652"/>
        <item x="706"/>
        <item x="260"/>
        <item x="542"/>
        <item x="248"/>
        <item x="628"/>
        <item x="698"/>
        <item x="247"/>
        <item x="575"/>
        <item x="235"/>
        <item x="225"/>
        <item x="269"/>
        <item x="664"/>
        <item x="574"/>
        <item x="234"/>
        <item x="696"/>
        <item x="693"/>
        <item x="246"/>
        <item x="447"/>
        <item x="538"/>
        <item x="229"/>
        <item x="660"/>
        <item x="727"/>
        <item x="526"/>
        <item x="558"/>
        <item x="540"/>
        <item x="703"/>
        <item x="560"/>
        <item x="237"/>
        <item x="254"/>
        <item x="289"/>
        <item x="563"/>
        <item x="591"/>
        <item x="740"/>
        <item x="562"/>
        <item x="584"/>
        <item x="243"/>
        <item x="679"/>
        <item x="240"/>
        <item x="290"/>
        <item x="731"/>
        <item x="583"/>
        <item x="668"/>
        <item x="709"/>
        <item x="291"/>
        <item x="736"/>
        <item x="654"/>
        <item x="692"/>
        <item x="554"/>
        <item x="687"/>
        <item x="705"/>
        <item x="749"/>
        <item x="662"/>
        <item x="717"/>
        <item x="293"/>
        <item x="280"/>
        <item x="544"/>
        <item x="724"/>
        <item x="292"/>
        <item x="272"/>
        <item x="286"/>
        <item x="573"/>
        <item x="580"/>
        <item x="684"/>
        <item x="674"/>
        <item x="543"/>
        <item x="275"/>
        <item x="745"/>
        <item x="704"/>
        <item x="734"/>
        <item x="287"/>
        <item x="743"/>
        <item x="719"/>
        <item x="271"/>
        <item x="681"/>
        <item x="738"/>
        <item x="565"/>
        <item x="585"/>
        <item x="288"/>
        <item x="735"/>
        <item x="294"/>
        <item x="677"/>
        <item x="725"/>
        <item x="688"/>
        <item x="733"/>
        <item x="589"/>
        <item x="282"/>
        <item x="697"/>
        <item x="566"/>
        <item x="710"/>
        <item x="587"/>
        <item x="742"/>
        <item x="577"/>
        <item x="598"/>
        <item x="689"/>
        <item x="746"/>
        <item x="582"/>
        <item x="712"/>
        <item x="737"/>
        <item x="728"/>
        <item x="714"/>
        <item x="744"/>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Total Deaths" fld="3" baseField="0" baseItem="0" numFmtId="3"/>
    <dataField name="Total Recovered" fld="4" baseField="0" baseItem="0" numFmtId="3"/>
  </dataFields>
  <chartFormats count="4">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6102C-4521-41AD-805D-1CB335C1F8EC}" name="Trend Over Tim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E3:F154" firstHeaderRow="1" firstDataRow="1" firstDataCol="1"/>
  <pivotFields count="5">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9">
        <item x="0"/>
        <item x="1"/>
        <item x="2"/>
        <item x="3"/>
        <item x="4"/>
        <item x="5"/>
        <item x="6"/>
        <item x="7"/>
        <item t="default"/>
      </items>
    </pivotField>
    <pivotField dataField="1" showAll="0"/>
    <pivotField showAll="0"/>
    <pivotField showAll="0"/>
  </pivotFields>
  <rowFields count="1">
    <field x="0"/>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Total Cases" fld="2" baseField="0" baseItem="12" numFmtId="3"/>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3BF470-713B-45C7-ABDE-C883DA28D44D}" name="Total Cases by Country"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ountry">
  <location ref="A3:B12" firstHeaderRow="1" firstDataRow="1" firstDataCol="1"/>
  <pivotFields count="5">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
  </rowFields>
  <rowItems count="9">
    <i>
      <x v="4"/>
    </i>
    <i>
      <x v="3"/>
    </i>
    <i>
      <x v="1"/>
    </i>
    <i>
      <x v="2"/>
    </i>
    <i>
      <x v="5"/>
    </i>
    <i>
      <x v="7"/>
    </i>
    <i>
      <x v="6"/>
    </i>
    <i>
      <x/>
    </i>
    <i t="grand">
      <x/>
    </i>
  </rowItems>
  <colItems count="1">
    <i/>
  </colItems>
  <dataFields count="1">
    <dataField name="Total Cases" fld="2" baseField="1" baseItem="0" numFmtId="3"/>
  </dataFields>
  <chartFormats count="2">
    <chartFormat chart="12"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EA1F89-52E7-4728-8EA3-D25A16381C9C}" name="PivotTable1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4" firstHeaderRow="1" firstDataRow="1" firstDataCol="1"/>
  <pivotFields count="2">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dataField="1" numFmtId="171" showAll="0"/>
  </pivotFields>
  <rowFields count="1">
    <field x="0"/>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Sum of Active Cases" fld="1" baseField="0" baseItem="0" numFmtId="17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C830ECC-9856-47E5-8780-A50996C2FCFA}" sourceName="Country">
  <pivotTables>
    <pivotTable tabId="4" name="Total Cases by Country"/>
  </pivotTables>
  <data>
    <tabular pivotCacheId="96616443">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F73102-40F0-4807-8429-8640B67DAF68}" sourceName="Country">
  <pivotTables>
    <pivotTable tabId="4" name="Deaths vs Recovered"/>
  </pivotTables>
  <data>
    <tabular pivotCacheId="96616443">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B7105D8-57F6-4EC9-8066-C59F97BF3F35}" cache="Slicer_Country1" caption="Country" style="SlicerStyleDark2" rowHeight="234950"/>
  <slicer name="Country" xr10:uid="{C7BA8190-57FF-4B65-B945-F79430262F9B}" cache="Slicer_Country" caption="Country"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B02A31A9-86A3-4C54-BABC-4C95D318C854}" cache="Slicer_Country1" caption="Country" style="SlicerStyleLight2" rowHeight="234950"/>
  <slicer name="Country 3" xr10:uid="{A6F97E76-CDEE-47B9-B323-8AAF8F6F54C9}" cache="Slicer_Country" caption="Countr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21C200-4ECE-4510-805A-FD495A60B457}" name="Table1" displayName="Table1" ref="A1:E1201" totalsRowShown="0">
  <autoFilter ref="A1:E1201" xr:uid="{6A21C200-4ECE-4510-805A-FD495A60B457}"/>
  <tableColumns count="5">
    <tableColumn id="1" xr3:uid="{E0FC93C8-F584-4099-92A5-9FB4301BF45A}" name="Date"/>
    <tableColumn id="2" xr3:uid="{D059BA12-EE3A-43FF-A290-801B8D88F9D1}" name="Country"/>
    <tableColumn id="3" xr3:uid="{83DAD3CF-C1D9-47C1-BAD2-F2CA07C9F8E6}" name="Confirmed"/>
    <tableColumn id="4" xr3:uid="{AC465EEE-7F51-45FF-A129-40DC6BD000C3}" name="Deaths"/>
    <tableColumn id="5" xr3:uid="{827F476D-6FAD-4B1F-87FA-0AF6694127FA}" name="Recover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01"/>
  <sheetViews>
    <sheetView topLeftCell="A1102" workbookViewId="0">
      <selection activeCell="D1201" sqref="D1201"/>
    </sheetView>
  </sheetViews>
  <sheetFormatPr defaultRowHeight="14.4" x14ac:dyDescent="0.3"/>
  <cols>
    <col min="1" max="1" width="10.33203125" bestFit="1" customWidth="1"/>
    <col min="2" max="2" width="10" bestFit="1" customWidth="1"/>
    <col min="3" max="3" width="12.109375" bestFit="1" customWidth="1"/>
    <col min="4" max="4" width="9" bestFit="1" customWidth="1"/>
    <col min="5" max="5" width="12.109375" bestFit="1" customWidth="1"/>
  </cols>
  <sheetData>
    <row r="1" spans="1:5" x14ac:dyDescent="0.3">
      <c r="A1" t="s">
        <v>0</v>
      </c>
      <c r="B1" t="s">
        <v>1</v>
      </c>
      <c r="C1" t="s">
        <v>2</v>
      </c>
      <c r="D1" t="s">
        <v>3</v>
      </c>
      <c r="E1" t="s">
        <v>4</v>
      </c>
    </row>
    <row r="2" spans="1:5" x14ac:dyDescent="0.3">
      <c r="A2" t="s">
        <v>5</v>
      </c>
      <c r="B2" t="s">
        <v>6</v>
      </c>
      <c r="C2">
        <v>15993404</v>
      </c>
      <c r="D2">
        <v>257360</v>
      </c>
      <c r="E2">
        <v>13640197</v>
      </c>
    </row>
    <row r="3" spans="1:5" x14ac:dyDescent="0.3">
      <c r="A3" t="s">
        <v>5</v>
      </c>
      <c r="B3" t="s">
        <v>7</v>
      </c>
      <c r="C3">
        <v>6839530</v>
      </c>
      <c r="D3">
        <v>165275</v>
      </c>
      <c r="E3">
        <v>5044993</v>
      </c>
    </row>
    <row r="4" spans="1:5" x14ac:dyDescent="0.3">
      <c r="A4" t="s">
        <v>5</v>
      </c>
      <c r="B4" t="s">
        <v>8</v>
      </c>
      <c r="C4">
        <v>5554230</v>
      </c>
      <c r="D4">
        <v>138559</v>
      </c>
      <c r="E4">
        <v>4331342</v>
      </c>
    </row>
    <row r="5" spans="1:5" x14ac:dyDescent="0.3">
      <c r="A5" t="s">
        <v>5</v>
      </c>
      <c r="B5" t="s">
        <v>9</v>
      </c>
      <c r="C5">
        <v>5812443</v>
      </c>
      <c r="D5">
        <v>104024</v>
      </c>
      <c r="E5">
        <v>5111847</v>
      </c>
    </row>
    <row r="6" spans="1:5" x14ac:dyDescent="0.3">
      <c r="A6" t="s">
        <v>5</v>
      </c>
      <c r="B6" t="s">
        <v>10</v>
      </c>
      <c r="C6">
        <v>7740877</v>
      </c>
      <c r="D6">
        <v>185338</v>
      </c>
      <c r="E6">
        <v>6333504</v>
      </c>
    </row>
    <row r="7" spans="1:5" x14ac:dyDescent="0.3">
      <c r="A7" t="s">
        <v>5</v>
      </c>
      <c r="B7" t="s">
        <v>11</v>
      </c>
      <c r="C7">
        <v>15627761</v>
      </c>
      <c r="D7">
        <v>317297</v>
      </c>
      <c r="E7">
        <v>11645050</v>
      </c>
    </row>
    <row r="8" spans="1:5" x14ac:dyDescent="0.3">
      <c r="A8" t="s">
        <v>5</v>
      </c>
      <c r="B8" t="s">
        <v>12</v>
      </c>
      <c r="C8">
        <v>13593348</v>
      </c>
      <c r="D8">
        <v>215556</v>
      </c>
      <c r="E8">
        <v>10993743</v>
      </c>
    </row>
    <row r="9" spans="1:5" x14ac:dyDescent="0.3">
      <c r="A9" t="s">
        <v>5</v>
      </c>
      <c r="B9" t="s">
        <v>13</v>
      </c>
      <c r="C9">
        <v>16467344</v>
      </c>
      <c r="D9">
        <v>177769</v>
      </c>
      <c r="E9">
        <v>12397101</v>
      </c>
    </row>
    <row r="10" spans="1:5" x14ac:dyDescent="0.3">
      <c r="A10" t="s">
        <v>14</v>
      </c>
      <c r="B10" t="s">
        <v>6</v>
      </c>
      <c r="C10">
        <v>15997126</v>
      </c>
      <c r="D10">
        <v>427821</v>
      </c>
      <c r="E10">
        <v>11974844</v>
      </c>
    </row>
    <row r="11" spans="1:5" x14ac:dyDescent="0.3">
      <c r="A11" t="s">
        <v>14</v>
      </c>
      <c r="B11" t="s">
        <v>7</v>
      </c>
      <c r="C11">
        <v>6884500</v>
      </c>
      <c r="D11">
        <v>134553</v>
      </c>
      <c r="E11">
        <v>5453689</v>
      </c>
    </row>
    <row r="12" spans="1:5" x14ac:dyDescent="0.3">
      <c r="A12" t="s">
        <v>14</v>
      </c>
      <c r="B12" t="s">
        <v>8</v>
      </c>
      <c r="C12">
        <v>5576883</v>
      </c>
      <c r="D12">
        <v>158271</v>
      </c>
      <c r="E12">
        <v>5004213</v>
      </c>
    </row>
    <row r="13" spans="1:5" x14ac:dyDescent="0.3">
      <c r="A13" t="s">
        <v>14</v>
      </c>
      <c r="B13" t="s">
        <v>9</v>
      </c>
      <c r="C13">
        <v>5850254</v>
      </c>
      <c r="D13">
        <v>163558</v>
      </c>
      <c r="E13">
        <v>5147158</v>
      </c>
    </row>
    <row r="14" spans="1:5" x14ac:dyDescent="0.3">
      <c r="A14" t="s">
        <v>14</v>
      </c>
      <c r="B14" t="s">
        <v>10</v>
      </c>
      <c r="C14">
        <v>7761171</v>
      </c>
      <c r="D14">
        <v>110311</v>
      </c>
      <c r="E14">
        <v>6301207</v>
      </c>
    </row>
    <row r="15" spans="1:5" x14ac:dyDescent="0.3">
      <c r="A15" t="s">
        <v>14</v>
      </c>
      <c r="B15" t="s">
        <v>11</v>
      </c>
      <c r="C15">
        <v>15638189</v>
      </c>
      <c r="D15">
        <v>359515</v>
      </c>
      <c r="E15">
        <v>12692496</v>
      </c>
    </row>
    <row r="16" spans="1:5" x14ac:dyDescent="0.3">
      <c r="A16" t="s">
        <v>14</v>
      </c>
      <c r="B16" t="s">
        <v>12</v>
      </c>
      <c r="C16">
        <v>13628742</v>
      </c>
      <c r="D16">
        <v>408211</v>
      </c>
      <c r="E16">
        <v>10543029</v>
      </c>
    </row>
    <row r="17" spans="1:5" x14ac:dyDescent="0.3">
      <c r="A17" t="s">
        <v>14</v>
      </c>
      <c r="B17" t="s">
        <v>13</v>
      </c>
      <c r="C17">
        <v>16515805</v>
      </c>
      <c r="D17">
        <v>347485</v>
      </c>
      <c r="E17">
        <v>11603347</v>
      </c>
    </row>
    <row r="18" spans="1:5" x14ac:dyDescent="0.3">
      <c r="A18" t="s">
        <v>15</v>
      </c>
      <c r="B18" t="s">
        <v>6</v>
      </c>
      <c r="C18">
        <v>16024303</v>
      </c>
      <c r="D18">
        <v>226671</v>
      </c>
      <c r="E18">
        <v>11569265</v>
      </c>
    </row>
    <row r="19" spans="1:5" x14ac:dyDescent="0.3">
      <c r="A19" t="s">
        <v>15</v>
      </c>
      <c r="B19" t="s">
        <v>7</v>
      </c>
      <c r="C19">
        <v>6892400</v>
      </c>
      <c r="D19">
        <v>119697</v>
      </c>
      <c r="E19">
        <v>6062650</v>
      </c>
    </row>
    <row r="20" spans="1:5" x14ac:dyDescent="0.3">
      <c r="A20" t="s">
        <v>15</v>
      </c>
      <c r="B20" t="s">
        <v>8</v>
      </c>
      <c r="C20">
        <v>5610296</v>
      </c>
      <c r="D20">
        <v>120264</v>
      </c>
      <c r="E20">
        <v>5020532</v>
      </c>
    </row>
    <row r="21" spans="1:5" x14ac:dyDescent="0.3">
      <c r="A21" t="s">
        <v>15</v>
      </c>
      <c r="B21" t="s">
        <v>9</v>
      </c>
      <c r="C21">
        <v>5856680</v>
      </c>
      <c r="D21">
        <v>78348</v>
      </c>
      <c r="E21">
        <v>4756464</v>
      </c>
    </row>
    <row r="22" spans="1:5" x14ac:dyDescent="0.3">
      <c r="A22" t="s">
        <v>15</v>
      </c>
      <c r="B22" t="s">
        <v>10</v>
      </c>
      <c r="C22">
        <v>7804256</v>
      </c>
      <c r="D22">
        <v>173404</v>
      </c>
      <c r="E22">
        <v>6250990</v>
      </c>
    </row>
    <row r="23" spans="1:5" x14ac:dyDescent="0.3">
      <c r="A23" t="s">
        <v>15</v>
      </c>
      <c r="B23" t="s">
        <v>11</v>
      </c>
      <c r="C23">
        <v>15671786</v>
      </c>
      <c r="D23">
        <v>399127</v>
      </c>
      <c r="E23">
        <v>11123883</v>
      </c>
    </row>
    <row r="24" spans="1:5" x14ac:dyDescent="0.3">
      <c r="A24" t="s">
        <v>15</v>
      </c>
      <c r="B24" t="s">
        <v>12</v>
      </c>
      <c r="C24">
        <v>13665024</v>
      </c>
      <c r="D24">
        <v>229343</v>
      </c>
      <c r="E24">
        <v>10677361</v>
      </c>
    </row>
    <row r="25" spans="1:5" x14ac:dyDescent="0.3">
      <c r="A25" t="s">
        <v>15</v>
      </c>
      <c r="B25" t="s">
        <v>13</v>
      </c>
      <c r="C25">
        <v>16563321</v>
      </c>
      <c r="D25">
        <v>257233</v>
      </c>
      <c r="E25">
        <v>12510138</v>
      </c>
    </row>
    <row r="26" spans="1:5" x14ac:dyDescent="0.3">
      <c r="A26" t="s">
        <v>16</v>
      </c>
      <c r="B26" t="s">
        <v>6</v>
      </c>
      <c r="C26">
        <v>16034192</v>
      </c>
      <c r="D26">
        <v>378277</v>
      </c>
      <c r="E26">
        <v>13981304</v>
      </c>
    </row>
    <row r="27" spans="1:5" x14ac:dyDescent="0.3">
      <c r="A27" t="s">
        <v>16</v>
      </c>
      <c r="B27" t="s">
        <v>7</v>
      </c>
      <c r="C27">
        <v>6907366</v>
      </c>
      <c r="D27">
        <v>87310</v>
      </c>
      <c r="E27">
        <v>5437601</v>
      </c>
    </row>
    <row r="28" spans="1:5" x14ac:dyDescent="0.3">
      <c r="A28" t="s">
        <v>16</v>
      </c>
      <c r="B28" t="s">
        <v>8</v>
      </c>
      <c r="C28">
        <v>5655168</v>
      </c>
      <c r="D28">
        <v>133058</v>
      </c>
      <c r="E28">
        <v>3998177</v>
      </c>
    </row>
    <row r="29" spans="1:5" x14ac:dyDescent="0.3">
      <c r="A29" t="s">
        <v>16</v>
      </c>
      <c r="B29" t="s">
        <v>9</v>
      </c>
      <c r="C29">
        <v>5887080</v>
      </c>
      <c r="D29">
        <v>172466</v>
      </c>
      <c r="E29">
        <v>4332645</v>
      </c>
    </row>
    <row r="30" spans="1:5" x14ac:dyDescent="0.3">
      <c r="A30" t="s">
        <v>16</v>
      </c>
      <c r="B30" t="s">
        <v>10</v>
      </c>
      <c r="C30">
        <v>7836306</v>
      </c>
      <c r="D30">
        <v>187423</v>
      </c>
      <c r="E30">
        <v>6548799</v>
      </c>
    </row>
    <row r="31" spans="1:5" x14ac:dyDescent="0.3">
      <c r="A31" t="s">
        <v>16</v>
      </c>
      <c r="B31" t="s">
        <v>11</v>
      </c>
      <c r="C31">
        <v>15688110</v>
      </c>
      <c r="D31">
        <v>418568</v>
      </c>
      <c r="E31">
        <v>12099158</v>
      </c>
    </row>
    <row r="32" spans="1:5" x14ac:dyDescent="0.3">
      <c r="A32" t="s">
        <v>16</v>
      </c>
      <c r="B32" t="s">
        <v>12</v>
      </c>
      <c r="C32">
        <v>13667607</v>
      </c>
      <c r="D32">
        <v>305391</v>
      </c>
      <c r="E32">
        <v>11737368</v>
      </c>
    </row>
    <row r="33" spans="1:5" x14ac:dyDescent="0.3">
      <c r="A33" t="s">
        <v>16</v>
      </c>
      <c r="B33" t="s">
        <v>13</v>
      </c>
      <c r="C33">
        <v>16565866</v>
      </c>
      <c r="D33">
        <v>314941</v>
      </c>
      <c r="E33">
        <v>13243214</v>
      </c>
    </row>
    <row r="34" spans="1:5" x14ac:dyDescent="0.3">
      <c r="A34" t="s">
        <v>17</v>
      </c>
      <c r="B34" t="s">
        <v>6</v>
      </c>
      <c r="C34">
        <v>16060655</v>
      </c>
      <c r="D34">
        <v>363664</v>
      </c>
      <c r="E34">
        <v>13216381</v>
      </c>
    </row>
    <row r="35" spans="1:5" x14ac:dyDescent="0.3">
      <c r="A35" t="s">
        <v>17</v>
      </c>
      <c r="B35" t="s">
        <v>7</v>
      </c>
      <c r="C35">
        <v>6945211</v>
      </c>
      <c r="D35">
        <v>166370</v>
      </c>
      <c r="E35">
        <v>5361339</v>
      </c>
    </row>
    <row r="36" spans="1:5" x14ac:dyDescent="0.3">
      <c r="A36" t="s">
        <v>17</v>
      </c>
      <c r="B36" t="s">
        <v>8</v>
      </c>
      <c r="C36">
        <v>5656556</v>
      </c>
      <c r="D36">
        <v>162536</v>
      </c>
      <c r="E36">
        <v>4020025</v>
      </c>
    </row>
    <row r="37" spans="1:5" x14ac:dyDescent="0.3">
      <c r="A37" t="s">
        <v>17</v>
      </c>
      <c r="B37" t="s">
        <v>9</v>
      </c>
      <c r="C37">
        <v>5908822</v>
      </c>
      <c r="D37">
        <v>101744</v>
      </c>
      <c r="E37">
        <v>4230866</v>
      </c>
    </row>
    <row r="38" spans="1:5" x14ac:dyDescent="0.3">
      <c r="A38" t="s">
        <v>17</v>
      </c>
      <c r="B38" t="s">
        <v>10</v>
      </c>
      <c r="C38">
        <v>7857634</v>
      </c>
      <c r="D38">
        <v>146316</v>
      </c>
      <c r="E38">
        <v>5505146</v>
      </c>
    </row>
    <row r="39" spans="1:5" x14ac:dyDescent="0.3">
      <c r="A39" t="s">
        <v>17</v>
      </c>
      <c r="B39" t="s">
        <v>11</v>
      </c>
      <c r="C39">
        <v>15729369</v>
      </c>
      <c r="D39">
        <v>376310</v>
      </c>
      <c r="E39">
        <v>13866667</v>
      </c>
    </row>
    <row r="40" spans="1:5" x14ac:dyDescent="0.3">
      <c r="A40" t="s">
        <v>17</v>
      </c>
      <c r="B40" t="s">
        <v>12</v>
      </c>
      <c r="C40">
        <v>13700087</v>
      </c>
      <c r="D40">
        <v>389810</v>
      </c>
      <c r="E40">
        <v>12035304</v>
      </c>
    </row>
    <row r="41" spans="1:5" x14ac:dyDescent="0.3">
      <c r="A41" t="s">
        <v>17</v>
      </c>
      <c r="B41" t="s">
        <v>13</v>
      </c>
      <c r="C41">
        <v>16593876</v>
      </c>
      <c r="D41">
        <v>464784</v>
      </c>
      <c r="E41">
        <v>13486110</v>
      </c>
    </row>
    <row r="42" spans="1:5" x14ac:dyDescent="0.3">
      <c r="A42" t="s">
        <v>18</v>
      </c>
      <c r="B42" t="s">
        <v>6</v>
      </c>
      <c r="C42">
        <v>16101749</v>
      </c>
      <c r="D42">
        <v>409740</v>
      </c>
      <c r="E42">
        <v>14084073</v>
      </c>
    </row>
    <row r="43" spans="1:5" x14ac:dyDescent="0.3">
      <c r="A43" t="s">
        <v>18</v>
      </c>
      <c r="B43" t="s">
        <v>7</v>
      </c>
      <c r="C43">
        <v>6990123</v>
      </c>
      <c r="D43">
        <v>156121</v>
      </c>
      <c r="E43">
        <v>5571960</v>
      </c>
    </row>
    <row r="44" spans="1:5" x14ac:dyDescent="0.3">
      <c r="A44" t="s">
        <v>18</v>
      </c>
      <c r="B44" t="s">
        <v>8</v>
      </c>
      <c r="C44">
        <v>5670777</v>
      </c>
      <c r="D44">
        <v>89467</v>
      </c>
      <c r="E44">
        <v>4114937</v>
      </c>
    </row>
    <row r="45" spans="1:5" x14ac:dyDescent="0.3">
      <c r="A45" t="s">
        <v>18</v>
      </c>
      <c r="B45" t="s">
        <v>9</v>
      </c>
      <c r="C45">
        <v>5951127</v>
      </c>
      <c r="D45">
        <v>100189</v>
      </c>
      <c r="E45">
        <v>4880900</v>
      </c>
    </row>
    <row r="46" spans="1:5" x14ac:dyDescent="0.3">
      <c r="A46" t="s">
        <v>18</v>
      </c>
      <c r="B46" t="s">
        <v>10</v>
      </c>
      <c r="C46">
        <v>7883377</v>
      </c>
      <c r="D46">
        <v>167181</v>
      </c>
      <c r="E46">
        <v>5560211</v>
      </c>
    </row>
    <row r="47" spans="1:5" x14ac:dyDescent="0.3">
      <c r="A47" t="s">
        <v>18</v>
      </c>
      <c r="B47" t="s">
        <v>11</v>
      </c>
      <c r="C47">
        <v>15777924</v>
      </c>
      <c r="D47">
        <v>182358</v>
      </c>
      <c r="E47">
        <v>12949637</v>
      </c>
    </row>
    <row r="48" spans="1:5" x14ac:dyDescent="0.3">
      <c r="A48" t="s">
        <v>18</v>
      </c>
      <c r="B48" t="s">
        <v>12</v>
      </c>
      <c r="C48">
        <v>13739794</v>
      </c>
      <c r="D48">
        <v>370187</v>
      </c>
      <c r="E48">
        <v>12210835</v>
      </c>
    </row>
    <row r="49" spans="1:5" x14ac:dyDescent="0.3">
      <c r="A49" t="s">
        <v>18</v>
      </c>
      <c r="B49" t="s">
        <v>13</v>
      </c>
      <c r="C49">
        <v>16603849</v>
      </c>
      <c r="D49">
        <v>208953</v>
      </c>
      <c r="E49">
        <v>12841082</v>
      </c>
    </row>
    <row r="50" spans="1:5" x14ac:dyDescent="0.3">
      <c r="A50" t="s">
        <v>19</v>
      </c>
      <c r="B50" t="s">
        <v>6</v>
      </c>
      <c r="C50">
        <v>16129088</v>
      </c>
      <c r="D50">
        <v>180655</v>
      </c>
      <c r="E50">
        <v>13229477</v>
      </c>
    </row>
    <row r="51" spans="1:5" x14ac:dyDescent="0.3">
      <c r="A51" t="s">
        <v>19</v>
      </c>
      <c r="B51" t="s">
        <v>7</v>
      </c>
      <c r="C51">
        <v>7006261</v>
      </c>
      <c r="D51">
        <v>205506</v>
      </c>
      <c r="E51">
        <v>5266635</v>
      </c>
    </row>
    <row r="52" spans="1:5" x14ac:dyDescent="0.3">
      <c r="A52" t="s">
        <v>19</v>
      </c>
      <c r="B52" t="s">
        <v>8</v>
      </c>
      <c r="C52">
        <v>5715879</v>
      </c>
      <c r="D52">
        <v>171318</v>
      </c>
      <c r="E52">
        <v>4287260</v>
      </c>
    </row>
    <row r="53" spans="1:5" x14ac:dyDescent="0.3">
      <c r="A53" t="s">
        <v>19</v>
      </c>
      <c r="B53" t="s">
        <v>9</v>
      </c>
      <c r="C53">
        <v>5986938</v>
      </c>
      <c r="D53">
        <v>133225</v>
      </c>
      <c r="E53">
        <v>5129435</v>
      </c>
    </row>
    <row r="54" spans="1:5" x14ac:dyDescent="0.3">
      <c r="A54" t="s">
        <v>19</v>
      </c>
      <c r="B54" t="s">
        <v>10</v>
      </c>
      <c r="C54">
        <v>7924953</v>
      </c>
      <c r="D54">
        <v>170740</v>
      </c>
      <c r="E54">
        <v>6819430</v>
      </c>
    </row>
    <row r="55" spans="1:5" x14ac:dyDescent="0.3">
      <c r="A55" t="s">
        <v>19</v>
      </c>
      <c r="B55" t="s">
        <v>11</v>
      </c>
      <c r="C55">
        <v>15825457</v>
      </c>
      <c r="D55">
        <v>383273</v>
      </c>
      <c r="E55">
        <v>13084979</v>
      </c>
    </row>
    <row r="56" spans="1:5" x14ac:dyDescent="0.3">
      <c r="A56" t="s">
        <v>19</v>
      </c>
      <c r="B56" t="s">
        <v>12</v>
      </c>
      <c r="C56">
        <v>13785560</v>
      </c>
      <c r="D56">
        <v>234638</v>
      </c>
      <c r="E56">
        <v>10605350</v>
      </c>
    </row>
    <row r="57" spans="1:5" x14ac:dyDescent="0.3">
      <c r="A57" t="s">
        <v>19</v>
      </c>
      <c r="B57" t="s">
        <v>13</v>
      </c>
      <c r="C57">
        <v>16652913</v>
      </c>
      <c r="D57">
        <v>474256</v>
      </c>
      <c r="E57">
        <v>14024437</v>
      </c>
    </row>
    <row r="58" spans="1:5" x14ac:dyDescent="0.3">
      <c r="A58" t="s">
        <v>20</v>
      </c>
      <c r="B58" t="s">
        <v>6</v>
      </c>
      <c r="C58">
        <v>16159199</v>
      </c>
      <c r="D58">
        <v>255614</v>
      </c>
      <c r="E58">
        <v>13416660</v>
      </c>
    </row>
    <row r="59" spans="1:5" x14ac:dyDescent="0.3">
      <c r="A59" t="s">
        <v>20</v>
      </c>
      <c r="B59" t="s">
        <v>7</v>
      </c>
      <c r="C59">
        <v>7033452</v>
      </c>
      <c r="D59">
        <v>145177</v>
      </c>
      <c r="E59">
        <v>5170617</v>
      </c>
    </row>
    <row r="60" spans="1:5" x14ac:dyDescent="0.3">
      <c r="A60" t="s">
        <v>20</v>
      </c>
      <c r="B60" t="s">
        <v>8</v>
      </c>
      <c r="C60">
        <v>5756295</v>
      </c>
      <c r="D60">
        <v>102387</v>
      </c>
      <c r="E60">
        <v>4212082</v>
      </c>
    </row>
    <row r="61" spans="1:5" x14ac:dyDescent="0.3">
      <c r="A61" t="s">
        <v>20</v>
      </c>
      <c r="B61" t="s">
        <v>9</v>
      </c>
      <c r="C61">
        <v>6019973</v>
      </c>
      <c r="D61">
        <v>159376</v>
      </c>
      <c r="E61">
        <v>5338637</v>
      </c>
    </row>
    <row r="62" spans="1:5" x14ac:dyDescent="0.3">
      <c r="A62" t="s">
        <v>20</v>
      </c>
      <c r="B62" t="s">
        <v>10</v>
      </c>
      <c r="C62">
        <v>7930500</v>
      </c>
      <c r="D62">
        <v>144109</v>
      </c>
      <c r="E62">
        <v>6223162</v>
      </c>
    </row>
    <row r="63" spans="1:5" x14ac:dyDescent="0.3">
      <c r="A63" t="s">
        <v>20</v>
      </c>
      <c r="B63" t="s">
        <v>11</v>
      </c>
      <c r="C63">
        <v>15850871</v>
      </c>
      <c r="D63">
        <v>192578</v>
      </c>
      <c r="E63">
        <v>11409804</v>
      </c>
    </row>
    <row r="64" spans="1:5" x14ac:dyDescent="0.3">
      <c r="A64" t="s">
        <v>20</v>
      </c>
      <c r="B64" t="s">
        <v>12</v>
      </c>
      <c r="C64">
        <v>13791373</v>
      </c>
      <c r="D64">
        <v>325095</v>
      </c>
      <c r="E64">
        <v>10209274</v>
      </c>
    </row>
    <row r="65" spans="1:5" x14ac:dyDescent="0.3">
      <c r="A65" t="s">
        <v>20</v>
      </c>
      <c r="B65" t="s">
        <v>13</v>
      </c>
      <c r="C65">
        <v>16696673</v>
      </c>
      <c r="D65">
        <v>434784</v>
      </c>
      <c r="E65">
        <v>12933370</v>
      </c>
    </row>
    <row r="66" spans="1:5" x14ac:dyDescent="0.3">
      <c r="A66" t="s">
        <v>21</v>
      </c>
      <c r="B66" t="s">
        <v>6</v>
      </c>
      <c r="C66">
        <v>16187037</v>
      </c>
      <c r="D66">
        <v>306899</v>
      </c>
      <c r="E66">
        <v>13164406</v>
      </c>
    </row>
    <row r="67" spans="1:5" x14ac:dyDescent="0.3">
      <c r="A67" t="s">
        <v>21</v>
      </c>
      <c r="B67" t="s">
        <v>7</v>
      </c>
      <c r="C67">
        <v>7044060</v>
      </c>
      <c r="D67">
        <v>101530</v>
      </c>
      <c r="E67">
        <v>5219844</v>
      </c>
    </row>
    <row r="68" spans="1:5" x14ac:dyDescent="0.3">
      <c r="A68" t="s">
        <v>21</v>
      </c>
      <c r="B68" t="s">
        <v>8</v>
      </c>
      <c r="C68">
        <v>5787171</v>
      </c>
      <c r="D68">
        <v>151121</v>
      </c>
      <c r="E68">
        <v>4194003</v>
      </c>
    </row>
    <row r="69" spans="1:5" x14ac:dyDescent="0.3">
      <c r="A69" t="s">
        <v>21</v>
      </c>
      <c r="B69" t="s">
        <v>9</v>
      </c>
      <c r="C69">
        <v>6031222</v>
      </c>
      <c r="D69">
        <v>124350</v>
      </c>
      <c r="E69">
        <v>5090111</v>
      </c>
    </row>
    <row r="70" spans="1:5" x14ac:dyDescent="0.3">
      <c r="A70" t="s">
        <v>21</v>
      </c>
      <c r="B70" t="s">
        <v>10</v>
      </c>
      <c r="C70">
        <v>7974275</v>
      </c>
      <c r="D70">
        <v>189192</v>
      </c>
      <c r="E70">
        <v>6456844</v>
      </c>
    </row>
    <row r="71" spans="1:5" x14ac:dyDescent="0.3">
      <c r="A71" t="s">
        <v>21</v>
      </c>
      <c r="B71" t="s">
        <v>11</v>
      </c>
      <c r="C71">
        <v>15878269</v>
      </c>
      <c r="D71">
        <v>404463</v>
      </c>
      <c r="E71">
        <v>12214698</v>
      </c>
    </row>
    <row r="72" spans="1:5" x14ac:dyDescent="0.3">
      <c r="A72" t="s">
        <v>21</v>
      </c>
      <c r="B72" t="s">
        <v>12</v>
      </c>
      <c r="C72">
        <v>13794377</v>
      </c>
      <c r="D72">
        <v>392271</v>
      </c>
      <c r="E72">
        <v>10264720</v>
      </c>
    </row>
    <row r="73" spans="1:5" x14ac:dyDescent="0.3">
      <c r="A73" t="s">
        <v>21</v>
      </c>
      <c r="B73" t="s">
        <v>13</v>
      </c>
      <c r="C73">
        <v>16734398</v>
      </c>
      <c r="D73">
        <v>462475</v>
      </c>
      <c r="E73">
        <v>13827262</v>
      </c>
    </row>
    <row r="74" spans="1:5" x14ac:dyDescent="0.3">
      <c r="A74" t="s">
        <v>22</v>
      </c>
      <c r="B74" t="s">
        <v>6</v>
      </c>
      <c r="C74">
        <v>16214036</v>
      </c>
      <c r="D74">
        <v>482992</v>
      </c>
      <c r="E74">
        <v>12928856</v>
      </c>
    </row>
    <row r="75" spans="1:5" x14ac:dyDescent="0.3">
      <c r="A75" t="s">
        <v>22</v>
      </c>
      <c r="B75" t="s">
        <v>7</v>
      </c>
      <c r="C75">
        <v>7075213</v>
      </c>
      <c r="D75">
        <v>91149</v>
      </c>
      <c r="E75">
        <v>6366797</v>
      </c>
    </row>
    <row r="76" spans="1:5" x14ac:dyDescent="0.3">
      <c r="A76" t="s">
        <v>22</v>
      </c>
      <c r="B76" t="s">
        <v>8</v>
      </c>
      <c r="C76">
        <v>5818097</v>
      </c>
      <c r="D76">
        <v>112833</v>
      </c>
      <c r="E76">
        <v>4351492</v>
      </c>
    </row>
    <row r="77" spans="1:5" x14ac:dyDescent="0.3">
      <c r="A77" t="s">
        <v>22</v>
      </c>
      <c r="B77" t="s">
        <v>9</v>
      </c>
      <c r="C77">
        <v>6065357</v>
      </c>
      <c r="D77">
        <v>164927</v>
      </c>
      <c r="E77">
        <v>5205523</v>
      </c>
    </row>
    <row r="78" spans="1:5" x14ac:dyDescent="0.3">
      <c r="A78" t="s">
        <v>22</v>
      </c>
      <c r="B78" t="s">
        <v>10</v>
      </c>
      <c r="C78">
        <v>7988108</v>
      </c>
      <c r="D78">
        <v>203549</v>
      </c>
      <c r="E78">
        <v>7077571</v>
      </c>
    </row>
    <row r="79" spans="1:5" x14ac:dyDescent="0.3">
      <c r="A79" t="s">
        <v>22</v>
      </c>
      <c r="B79" t="s">
        <v>11</v>
      </c>
      <c r="C79">
        <v>15888998</v>
      </c>
      <c r="D79">
        <v>369742</v>
      </c>
      <c r="E79">
        <v>12090207</v>
      </c>
    </row>
    <row r="80" spans="1:5" x14ac:dyDescent="0.3">
      <c r="A80" t="s">
        <v>22</v>
      </c>
      <c r="B80" t="s">
        <v>12</v>
      </c>
      <c r="C80">
        <v>13827802</v>
      </c>
      <c r="D80">
        <v>184726</v>
      </c>
      <c r="E80">
        <v>10040284</v>
      </c>
    </row>
    <row r="81" spans="1:5" x14ac:dyDescent="0.3">
      <c r="A81" t="s">
        <v>22</v>
      </c>
      <c r="B81" t="s">
        <v>13</v>
      </c>
      <c r="C81">
        <v>16755217</v>
      </c>
      <c r="D81">
        <v>337129</v>
      </c>
      <c r="E81">
        <v>13431017</v>
      </c>
    </row>
    <row r="82" spans="1:5" x14ac:dyDescent="0.3">
      <c r="A82" t="s">
        <v>23</v>
      </c>
      <c r="B82" t="s">
        <v>6</v>
      </c>
      <c r="C82">
        <v>16226092</v>
      </c>
      <c r="D82">
        <v>254610</v>
      </c>
      <c r="E82">
        <v>13506448</v>
      </c>
    </row>
    <row r="83" spans="1:5" x14ac:dyDescent="0.3">
      <c r="A83" t="s">
        <v>23</v>
      </c>
      <c r="B83" t="s">
        <v>7</v>
      </c>
      <c r="C83">
        <v>7090685</v>
      </c>
      <c r="D83">
        <v>181136</v>
      </c>
      <c r="E83">
        <v>6313394</v>
      </c>
    </row>
    <row r="84" spans="1:5" x14ac:dyDescent="0.3">
      <c r="A84" t="s">
        <v>23</v>
      </c>
      <c r="B84" t="s">
        <v>8</v>
      </c>
      <c r="C84">
        <v>5838159</v>
      </c>
      <c r="D84">
        <v>71058</v>
      </c>
      <c r="E84">
        <v>5007429</v>
      </c>
    </row>
    <row r="85" spans="1:5" x14ac:dyDescent="0.3">
      <c r="A85" t="s">
        <v>23</v>
      </c>
      <c r="B85" t="s">
        <v>9</v>
      </c>
      <c r="C85">
        <v>6105060</v>
      </c>
      <c r="D85">
        <v>111767</v>
      </c>
      <c r="E85">
        <v>4676770</v>
      </c>
    </row>
    <row r="86" spans="1:5" x14ac:dyDescent="0.3">
      <c r="A86" t="s">
        <v>23</v>
      </c>
      <c r="B86" t="s">
        <v>10</v>
      </c>
      <c r="C86">
        <v>8021323</v>
      </c>
      <c r="D86">
        <v>123975</v>
      </c>
      <c r="E86">
        <v>5874035</v>
      </c>
    </row>
    <row r="87" spans="1:5" x14ac:dyDescent="0.3">
      <c r="A87" t="s">
        <v>23</v>
      </c>
      <c r="B87" t="s">
        <v>11</v>
      </c>
      <c r="C87">
        <v>15920553</v>
      </c>
      <c r="D87">
        <v>317395</v>
      </c>
      <c r="E87">
        <v>14228378</v>
      </c>
    </row>
    <row r="88" spans="1:5" x14ac:dyDescent="0.3">
      <c r="A88" t="s">
        <v>23</v>
      </c>
      <c r="B88" t="s">
        <v>12</v>
      </c>
      <c r="C88">
        <v>13873052</v>
      </c>
      <c r="D88">
        <v>257834</v>
      </c>
      <c r="E88">
        <v>10962579</v>
      </c>
    </row>
    <row r="89" spans="1:5" x14ac:dyDescent="0.3">
      <c r="A89" t="s">
        <v>23</v>
      </c>
      <c r="B89" t="s">
        <v>13</v>
      </c>
      <c r="C89">
        <v>16769809</v>
      </c>
      <c r="D89">
        <v>316662</v>
      </c>
      <c r="E89">
        <v>14292684</v>
      </c>
    </row>
    <row r="90" spans="1:5" x14ac:dyDescent="0.3">
      <c r="A90" t="s">
        <v>24</v>
      </c>
      <c r="B90" t="s">
        <v>6</v>
      </c>
      <c r="C90">
        <v>16271518</v>
      </c>
      <c r="D90">
        <v>486672</v>
      </c>
      <c r="E90">
        <v>13605953</v>
      </c>
    </row>
    <row r="91" spans="1:5" x14ac:dyDescent="0.3">
      <c r="A91" t="s">
        <v>24</v>
      </c>
      <c r="B91" t="s">
        <v>7</v>
      </c>
      <c r="C91">
        <v>7104919</v>
      </c>
      <c r="D91">
        <v>142563</v>
      </c>
      <c r="E91">
        <v>5592406</v>
      </c>
    </row>
    <row r="92" spans="1:5" x14ac:dyDescent="0.3">
      <c r="A92" t="s">
        <v>24</v>
      </c>
      <c r="B92" t="s">
        <v>8</v>
      </c>
      <c r="C92">
        <v>5861930</v>
      </c>
      <c r="D92">
        <v>153719</v>
      </c>
      <c r="E92">
        <v>4278501</v>
      </c>
    </row>
    <row r="93" spans="1:5" x14ac:dyDescent="0.3">
      <c r="A93" t="s">
        <v>24</v>
      </c>
      <c r="B93" t="s">
        <v>9</v>
      </c>
      <c r="C93">
        <v>6152637</v>
      </c>
      <c r="D93">
        <v>63054</v>
      </c>
      <c r="E93">
        <v>5216299</v>
      </c>
    </row>
    <row r="94" spans="1:5" x14ac:dyDescent="0.3">
      <c r="A94" t="s">
        <v>24</v>
      </c>
      <c r="B94" t="s">
        <v>10</v>
      </c>
      <c r="C94">
        <v>8059188</v>
      </c>
      <c r="D94">
        <v>200453</v>
      </c>
      <c r="E94">
        <v>6376206</v>
      </c>
    </row>
    <row r="95" spans="1:5" x14ac:dyDescent="0.3">
      <c r="A95" t="s">
        <v>24</v>
      </c>
      <c r="B95" t="s">
        <v>11</v>
      </c>
      <c r="C95">
        <v>15958590</v>
      </c>
      <c r="D95">
        <v>386975</v>
      </c>
      <c r="E95">
        <v>14091396</v>
      </c>
    </row>
    <row r="96" spans="1:5" x14ac:dyDescent="0.3">
      <c r="A96" t="s">
        <v>24</v>
      </c>
      <c r="B96" t="s">
        <v>12</v>
      </c>
      <c r="C96">
        <v>13912795</v>
      </c>
      <c r="D96">
        <v>383328</v>
      </c>
      <c r="E96">
        <v>12380428</v>
      </c>
    </row>
    <row r="97" spans="1:5" x14ac:dyDescent="0.3">
      <c r="A97" t="s">
        <v>24</v>
      </c>
      <c r="B97" t="s">
        <v>13</v>
      </c>
      <c r="C97">
        <v>16793132</v>
      </c>
      <c r="D97">
        <v>488127</v>
      </c>
      <c r="E97">
        <v>14144631</v>
      </c>
    </row>
    <row r="98" spans="1:5" x14ac:dyDescent="0.3">
      <c r="A98" t="s">
        <v>25</v>
      </c>
      <c r="B98" t="s">
        <v>6</v>
      </c>
      <c r="C98">
        <v>16287331</v>
      </c>
      <c r="D98">
        <v>476956</v>
      </c>
      <c r="E98">
        <v>11441050</v>
      </c>
    </row>
    <row r="99" spans="1:5" x14ac:dyDescent="0.3">
      <c r="A99" t="s">
        <v>25</v>
      </c>
      <c r="B99" t="s">
        <v>7</v>
      </c>
      <c r="C99">
        <v>7118460</v>
      </c>
      <c r="D99">
        <v>180542</v>
      </c>
      <c r="E99">
        <v>5700154</v>
      </c>
    </row>
    <row r="100" spans="1:5" x14ac:dyDescent="0.3">
      <c r="A100" t="s">
        <v>25</v>
      </c>
      <c r="B100" t="s">
        <v>8</v>
      </c>
      <c r="C100">
        <v>5888707</v>
      </c>
      <c r="D100">
        <v>129581</v>
      </c>
      <c r="E100">
        <v>5172512</v>
      </c>
    </row>
    <row r="101" spans="1:5" x14ac:dyDescent="0.3">
      <c r="A101" t="s">
        <v>25</v>
      </c>
      <c r="B101" t="s">
        <v>9</v>
      </c>
      <c r="C101">
        <v>6166514</v>
      </c>
      <c r="D101">
        <v>96548</v>
      </c>
      <c r="E101">
        <v>5459413</v>
      </c>
    </row>
    <row r="102" spans="1:5" x14ac:dyDescent="0.3">
      <c r="A102" t="s">
        <v>25</v>
      </c>
      <c r="B102" t="s">
        <v>10</v>
      </c>
      <c r="C102">
        <v>8081062</v>
      </c>
      <c r="D102">
        <v>108382</v>
      </c>
      <c r="E102">
        <v>6143972</v>
      </c>
    </row>
    <row r="103" spans="1:5" x14ac:dyDescent="0.3">
      <c r="A103" t="s">
        <v>25</v>
      </c>
      <c r="B103" t="s">
        <v>11</v>
      </c>
      <c r="C103">
        <v>15984763</v>
      </c>
      <c r="D103">
        <v>463692</v>
      </c>
      <c r="E103">
        <v>11310998</v>
      </c>
    </row>
    <row r="104" spans="1:5" x14ac:dyDescent="0.3">
      <c r="A104" t="s">
        <v>25</v>
      </c>
      <c r="B104" t="s">
        <v>12</v>
      </c>
      <c r="C104">
        <v>13934394</v>
      </c>
      <c r="D104">
        <v>262514</v>
      </c>
      <c r="E104">
        <v>11430734</v>
      </c>
    </row>
    <row r="105" spans="1:5" x14ac:dyDescent="0.3">
      <c r="A105" t="s">
        <v>25</v>
      </c>
      <c r="B105" t="s">
        <v>13</v>
      </c>
      <c r="C105">
        <v>16833211</v>
      </c>
      <c r="D105">
        <v>319379</v>
      </c>
      <c r="E105">
        <v>11897653</v>
      </c>
    </row>
    <row r="106" spans="1:5" x14ac:dyDescent="0.3">
      <c r="A106" t="s">
        <v>26</v>
      </c>
      <c r="B106" t="s">
        <v>6</v>
      </c>
      <c r="C106">
        <v>16334442</v>
      </c>
      <c r="D106">
        <v>185081</v>
      </c>
      <c r="E106">
        <v>14543112</v>
      </c>
    </row>
    <row r="107" spans="1:5" x14ac:dyDescent="0.3">
      <c r="A107" t="s">
        <v>26</v>
      </c>
      <c r="B107" t="s">
        <v>7</v>
      </c>
      <c r="C107">
        <v>7143547</v>
      </c>
      <c r="D107">
        <v>193883</v>
      </c>
      <c r="E107">
        <v>5198986</v>
      </c>
    </row>
    <row r="108" spans="1:5" x14ac:dyDescent="0.3">
      <c r="A108" t="s">
        <v>26</v>
      </c>
      <c r="B108" t="s">
        <v>8</v>
      </c>
      <c r="C108">
        <v>5913230</v>
      </c>
      <c r="D108">
        <v>81927</v>
      </c>
      <c r="E108">
        <v>4415815</v>
      </c>
    </row>
    <row r="109" spans="1:5" x14ac:dyDescent="0.3">
      <c r="A109" t="s">
        <v>26</v>
      </c>
      <c r="B109" t="s">
        <v>9</v>
      </c>
      <c r="C109">
        <v>6201402</v>
      </c>
      <c r="D109">
        <v>119117</v>
      </c>
      <c r="E109">
        <v>5477180</v>
      </c>
    </row>
    <row r="110" spans="1:5" x14ac:dyDescent="0.3">
      <c r="A110" t="s">
        <v>26</v>
      </c>
      <c r="B110" t="s">
        <v>10</v>
      </c>
      <c r="C110">
        <v>8098039</v>
      </c>
      <c r="D110">
        <v>108011</v>
      </c>
      <c r="E110">
        <v>6741691</v>
      </c>
    </row>
    <row r="111" spans="1:5" x14ac:dyDescent="0.3">
      <c r="A111" t="s">
        <v>26</v>
      </c>
      <c r="B111" t="s">
        <v>11</v>
      </c>
      <c r="C111">
        <v>16007700</v>
      </c>
      <c r="D111">
        <v>465878</v>
      </c>
      <c r="E111">
        <v>11635138</v>
      </c>
    </row>
    <row r="112" spans="1:5" x14ac:dyDescent="0.3">
      <c r="A112" t="s">
        <v>26</v>
      </c>
      <c r="B112" t="s">
        <v>12</v>
      </c>
      <c r="C112">
        <v>13962900</v>
      </c>
      <c r="D112">
        <v>145397</v>
      </c>
      <c r="E112">
        <v>11341436</v>
      </c>
    </row>
    <row r="113" spans="1:5" x14ac:dyDescent="0.3">
      <c r="A113" t="s">
        <v>26</v>
      </c>
      <c r="B113" t="s">
        <v>13</v>
      </c>
      <c r="C113">
        <v>16846597</v>
      </c>
      <c r="D113">
        <v>467680</v>
      </c>
      <c r="E113">
        <v>13796191</v>
      </c>
    </row>
    <row r="114" spans="1:5" x14ac:dyDescent="0.3">
      <c r="A114" t="s">
        <v>27</v>
      </c>
      <c r="B114" t="s">
        <v>6</v>
      </c>
      <c r="C114">
        <v>16349426</v>
      </c>
      <c r="D114">
        <v>385152</v>
      </c>
      <c r="E114">
        <v>12164958</v>
      </c>
    </row>
    <row r="115" spans="1:5" x14ac:dyDescent="0.3">
      <c r="A115" t="s">
        <v>27</v>
      </c>
      <c r="B115" t="s">
        <v>7</v>
      </c>
      <c r="C115">
        <v>7169490</v>
      </c>
      <c r="D115">
        <v>79662</v>
      </c>
      <c r="E115">
        <v>5683875</v>
      </c>
    </row>
    <row r="116" spans="1:5" x14ac:dyDescent="0.3">
      <c r="A116" t="s">
        <v>27</v>
      </c>
      <c r="B116" t="s">
        <v>8</v>
      </c>
      <c r="C116">
        <v>5957961</v>
      </c>
      <c r="D116">
        <v>86686</v>
      </c>
      <c r="E116">
        <v>4755537</v>
      </c>
    </row>
    <row r="117" spans="1:5" x14ac:dyDescent="0.3">
      <c r="A117" t="s">
        <v>27</v>
      </c>
      <c r="B117" t="s">
        <v>9</v>
      </c>
      <c r="C117">
        <v>6247512</v>
      </c>
      <c r="D117">
        <v>100120</v>
      </c>
      <c r="E117">
        <v>4907715</v>
      </c>
    </row>
    <row r="118" spans="1:5" x14ac:dyDescent="0.3">
      <c r="A118" t="s">
        <v>27</v>
      </c>
      <c r="B118" t="s">
        <v>10</v>
      </c>
      <c r="C118">
        <v>8140832</v>
      </c>
      <c r="D118">
        <v>235531</v>
      </c>
      <c r="E118">
        <v>7284145</v>
      </c>
    </row>
    <row r="119" spans="1:5" x14ac:dyDescent="0.3">
      <c r="A119" t="s">
        <v>27</v>
      </c>
      <c r="B119" t="s">
        <v>11</v>
      </c>
      <c r="C119">
        <v>16011253</v>
      </c>
      <c r="D119">
        <v>206167</v>
      </c>
      <c r="E119">
        <v>11369882</v>
      </c>
    </row>
    <row r="120" spans="1:5" x14ac:dyDescent="0.3">
      <c r="A120" t="s">
        <v>27</v>
      </c>
      <c r="B120" t="s">
        <v>12</v>
      </c>
      <c r="C120">
        <v>13991688</v>
      </c>
      <c r="D120">
        <v>147919</v>
      </c>
      <c r="E120">
        <v>11951468</v>
      </c>
    </row>
    <row r="121" spans="1:5" x14ac:dyDescent="0.3">
      <c r="A121" t="s">
        <v>27</v>
      </c>
      <c r="B121" t="s">
        <v>13</v>
      </c>
      <c r="C121">
        <v>16891642</v>
      </c>
      <c r="D121">
        <v>271499</v>
      </c>
      <c r="E121">
        <v>12488233</v>
      </c>
    </row>
    <row r="122" spans="1:5" x14ac:dyDescent="0.3">
      <c r="A122" t="s">
        <v>28</v>
      </c>
      <c r="B122" t="s">
        <v>6</v>
      </c>
      <c r="C122">
        <v>16357359</v>
      </c>
      <c r="D122">
        <v>437657</v>
      </c>
      <c r="E122">
        <v>14551390</v>
      </c>
    </row>
    <row r="123" spans="1:5" x14ac:dyDescent="0.3">
      <c r="A123" t="s">
        <v>28</v>
      </c>
      <c r="B123" t="s">
        <v>7</v>
      </c>
      <c r="C123">
        <v>7173537</v>
      </c>
      <c r="D123">
        <v>109915</v>
      </c>
      <c r="E123">
        <v>6360786</v>
      </c>
    </row>
    <row r="124" spans="1:5" x14ac:dyDescent="0.3">
      <c r="A124" t="s">
        <v>28</v>
      </c>
      <c r="B124" t="s">
        <v>8</v>
      </c>
      <c r="C124">
        <v>5979001</v>
      </c>
      <c r="D124">
        <v>145874</v>
      </c>
      <c r="E124">
        <v>4974266</v>
      </c>
    </row>
    <row r="125" spans="1:5" x14ac:dyDescent="0.3">
      <c r="A125" t="s">
        <v>28</v>
      </c>
      <c r="B125" t="s">
        <v>9</v>
      </c>
      <c r="C125">
        <v>6278147</v>
      </c>
      <c r="D125">
        <v>73706</v>
      </c>
      <c r="E125">
        <v>5263904</v>
      </c>
    </row>
    <row r="126" spans="1:5" x14ac:dyDescent="0.3">
      <c r="A126" t="s">
        <v>28</v>
      </c>
      <c r="B126" t="s">
        <v>10</v>
      </c>
      <c r="C126">
        <v>8174835</v>
      </c>
      <c r="D126">
        <v>139425</v>
      </c>
      <c r="E126">
        <v>6510954</v>
      </c>
    </row>
    <row r="127" spans="1:5" x14ac:dyDescent="0.3">
      <c r="A127" t="s">
        <v>28</v>
      </c>
      <c r="B127" t="s">
        <v>11</v>
      </c>
      <c r="C127">
        <v>16026914</v>
      </c>
      <c r="D127">
        <v>413293</v>
      </c>
      <c r="E127">
        <v>12768818</v>
      </c>
    </row>
    <row r="128" spans="1:5" x14ac:dyDescent="0.3">
      <c r="A128" t="s">
        <v>28</v>
      </c>
      <c r="B128" t="s">
        <v>12</v>
      </c>
      <c r="C128">
        <v>14027892</v>
      </c>
      <c r="D128">
        <v>341833</v>
      </c>
      <c r="E128">
        <v>12187434</v>
      </c>
    </row>
    <row r="129" spans="1:5" x14ac:dyDescent="0.3">
      <c r="A129" t="s">
        <v>28</v>
      </c>
      <c r="B129" t="s">
        <v>13</v>
      </c>
      <c r="C129">
        <v>16936869</v>
      </c>
      <c r="D129">
        <v>487660</v>
      </c>
      <c r="E129">
        <v>13084304</v>
      </c>
    </row>
    <row r="130" spans="1:5" x14ac:dyDescent="0.3">
      <c r="A130" t="s">
        <v>29</v>
      </c>
      <c r="B130" t="s">
        <v>6</v>
      </c>
      <c r="C130">
        <v>16384349</v>
      </c>
      <c r="D130">
        <v>190974</v>
      </c>
      <c r="E130">
        <v>11994114</v>
      </c>
    </row>
    <row r="131" spans="1:5" x14ac:dyDescent="0.3">
      <c r="A131" t="s">
        <v>29</v>
      </c>
      <c r="B131" t="s">
        <v>7</v>
      </c>
      <c r="C131">
        <v>7204306</v>
      </c>
      <c r="D131">
        <v>118369</v>
      </c>
      <c r="E131">
        <v>5466828</v>
      </c>
    </row>
    <row r="132" spans="1:5" x14ac:dyDescent="0.3">
      <c r="A132" t="s">
        <v>29</v>
      </c>
      <c r="B132" t="s">
        <v>8</v>
      </c>
      <c r="C132">
        <v>6014219</v>
      </c>
      <c r="D132">
        <v>161011</v>
      </c>
      <c r="E132">
        <v>4287186</v>
      </c>
    </row>
    <row r="133" spans="1:5" x14ac:dyDescent="0.3">
      <c r="A133" t="s">
        <v>29</v>
      </c>
      <c r="B133" t="s">
        <v>9</v>
      </c>
      <c r="C133">
        <v>6308118</v>
      </c>
      <c r="D133">
        <v>89999</v>
      </c>
      <c r="E133">
        <v>5579209</v>
      </c>
    </row>
    <row r="134" spans="1:5" x14ac:dyDescent="0.3">
      <c r="A134" t="s">
        <v>29</v>
      </c>
      <c r="B134" t="s">
        <v>10</v>
      </c>
      <c r="C134">
        <v>8209938</v>
      </c>
      <c r="D134">
        <v>156338</v>
      </c>
      <c r="E134">
        <v>5814075</v>
      </c>
    </row>
    <row r="135" spans="1:5" x14ac:dyDescent="0.3">
      <c r="A135" t="s">
        <v>29</v>
      </c>
      <c r="B135" t="s">
        <v>11</v>
      </c>
      <c r="C135">
        <v>16066278</v>
      </c>
      <c r="D135">
        <v>241952</v>
      </c>
      <c r="E135">
        <v>11860154</v>
      </c>
    </row>
    <row r="136" spans="1:5" x14ac:dyDescent="0.3">
      <c r="A136" t="s">
        <v>29</v>
      </c>
      <c r="B136" t="s">
        <v>12</v>
      </c>
      <c r="C136">
        <v>14034486</v>
      </c>
      <c r="D136">
        <v>246769</v>
      </c>
      <c r="E136">
        <v>11234284</v>
      </c>
    </row>
    <row r="137" spans="1:5" x14ac:dyDescent="0.3">
      <c r="A137" t="s">
        <v>29</v>
      </c>
      <c r="B137" t="s">
        <v>13</v>
      </c>
      <c r="C137">
        <v>16945697</v>
      </c>
      <c r="D137">
        <v>218736</v>
      </c>
      <c r="E137">
        <v>14412498</v>
      </c>
    </row>
    <row r="138" spans="1:5" x14ac:dyDescent="0.3">
      <c r="A138" t="s">
        <v>30</v>
      </c>
      <c r="B138" t="s">
        <v>6</v>
      </c>
      <c r="C138">
        <v>16413552</v>
      </c>
      <c r="D138">
        <v>433601</v>
      </c>
      <c r="E138">
        <v>12174786</v>
      </c>
    </row>
    <row r="139" spans="1:5" x14ac:dyDescent="0.3">
      <c r="A139" t="s">
        <v>30</v>
      </c>
      <c r="B139" t="s">
        <v>7</v>
      </c>
      <c r="C139">
        <v>7222278</v>
      </c>
      <c r="D139">
        <v>107750</v>
      </c>
      <c r="E139">
        <v>5719373</v>
      </c>
    </row>
    <row r="140" spans="1:5" x14ac:dyDescent="0.3">
      <c r="A140" t="s">
        <v>30</v>
      </c>
      <c r="B140" t="s">
        <v>8</v>
      </c>
      <c r="C140">
        <v>6037172</v>
      </c>
      <c r="D140">
        <v>177259</v>
      </c>
      <c r="E140">
        <v>4484516</v>
      </c>
    </row>
    <row r="141" spans="1:5" x14ac:dyDescent="0.3">
      <c r="A141" t="s">
        <v>30</v>
      </c>
      <c r="B141" t="s">
        <v>9</v>
      </c>
      <c r="C141">
        <v>6320305</v>
      </c>
      <c r="D141">
        <v>164417</v>
      </c>
      <c r="E141">
        <v>4490021</v>
      </c>
    </row>
    <row r="142" spans="1:5" x14ac:dyDescent="0.3">
      <c r="A142" t="s">
        <v>30</v>
      </c>
      <c r="B142" t="s">
        <v>10</v>
      </c>
      <c r="C142">
        <v>8214851</v>
      </c>
      <c r="D142">
        <v>91639</v>
      </c>
      <c r="E142">
        <v>7242191</v>
      </c>
    </row>
    <row r="143" spans="1:5" x14ac:dyDescent="0.3">
      <c r="A143" t="s">
        <v>30</v>
      </c>
      <c r="B143" t="s">
        <v>11</v>
      </c>
      <c r="C143">
        <v>16086499</v>
      </c>
      <c r="D143">
        <v>441470</v>
      </c>
      <c r="E143">
        <v>11936266</v>
      </c>
    </row>
    <row r="144" spans="1:5" x14ac:dyDescent="0.3">
      <c r="A144" t="s">
        <v>30</v>
      </c>
      <c r="B144" t="s">
        <v>12</v>
      </c>
      <c r="C144">
        <v>14035969</v>
      </c>
      <c r="D144">
        <v>147680</v>
      </c>
      <c r="E144">
        <v>11030481</v>
      </c>
    </row>
    <row r="145" spans="1:5" x14ac:dyDescent="0.3">
      <c r="A145" t="s">
        <v>30</v>
      </c>
      <c r="B145" t="s">
        <v>13</v>
      </c>
      <c r="C145">
        <v>16965336</v>
      </c>
      <c r="D145">
        <v>402125</v>
      </c>
      <c r="E145">
        <v>15107838</v>
      </c>
    </row>
    <row r="146" spans="1:5" x14ac:dyDescent="0.3">
      <c r="A146" t="s">
        <v>31</v>
      </c>
      <c r="B146" t="s">
        <v>6</v>
      </c>
      <c r="C146">
        <v>16416170</v>
      </c>
      <c r="D146">
        <v>233039</v>
      </c>
      <c r="E146">
        <v>13623982</v>
      </c>
    </row>
    <row r="147" spans="1:5" x14ac:dyDescent="0.3">
      <c r="A147" t="s">
        <v>31</v>
      </c>
      <c r="B147" t="s">
        <v>7</v>
      </c>
      <c r="C147">
        <v>7244818</v>
      </c>
      <c r="D147">
        <v>210066</v>
      </c>
      <c r="E147">
        <v>6250679</v>
      </c>
    </row>
    <row r="148" spans="1:5" x14ac:dyDescent="0.3">
      <c r="A148" t="s">
        <v>31</v>
      </c>
      <c r="B148" t="s">
        <v>8</v>
      </c>
      <c r="C148">
        <v>6059429</v>
      </c>
      <c r="D148">
        <v>167215</v>
      </c>
      <c r="E148">
        <v>4507287</v>
      </c>
    </row>
    <row r="149" spans="1:5" x14ac:dyDescent="0.3">
      <c r="A149" t="s">
        <v>31</v>
      </c>
      <c r="B149" t="s">
        <v>9</v>
      </c>
      <c r="C149">
        <v>6349941</v>
      </c>
      <c r="D149">
        <v>114883</v>
      </c>
      <c r="E149">
        <v>5270991</v>
      </c>
    </row>
    <row r="150" spans="1:5" x14ac:dyDescent="0.3">
      <c r="A150" t="s">
        <v>31</v>
      </c>
      <c r="B150" t="s">
        <v>10</v>
      </c>
      <c r="C150">
        <v>8218857</v>
      </c>
      <c r="D150">
        <v>181840</v>
      </c>
      <c r="E150">
        <v>6788742</v>
      </c>
    </row>
    <row r="151" spans="1:5" x14ac:dyDescent="0.3">
      <c r="A151" t="s">
        <v>31</v>
      </c>
      <c r="B151" t="s">
        <v>11</v>
      </c>
      <c r="C151">
        <v>16126561</v>
      </c>
      <c r="D151">
        <v>307940</v>
      </c>
      <c r="E151">
        <v>13612532</v>
      </c>
    </row>
    <row r="152" spans="1:5" x14ac:dyDescent="0.3">
      <c r="A152" t="s">
        <v>31</v>
      </c>
      <c r="B152" t="s">
        <v>12</v>
      </c>
      <c r="C152">
        <v>14077794</v>
      </c>
      <c r="D152">
        <v>162116</v>
      </c>
      <c r="E152">
        <v>11979049</v>
      </c>
    </row>
    <row r="153" spans="1:5" x14ac:dyDescent="0.3">
      <c r="A153" t="s">
        <v>31</v>
      </c>
      <c r="B153" t="s">
        <v>13</v>
      </c>
      <c r="C153">
        <v>17001847</v>
      </c>
      <c r="D153">
        <v>333091</v>
      </c>
      <c r="E153">
        <v>13087679</v>
      </c>
    </row>
    <row r="154" spans="1:5" x14ac:dyDescent="0.3">
      <c r="A154" t="s">
        <v>32</v>
      </c>
      <c r="B154" t="s">
        <v>6</v>
      </c>
      <c r="C154">
        <v>16434623</v>
      </c>
      <c r="D154">
        <v>171580</v>
      </c>
      <c r="E154">
        <v>14426988</v>
      </c>
    </row>
    <row r="155" spans="1:5" x14ac:dyDescent="0.3">
      <c r="A155" t="s">
        <v>32</v>
      </c>
      <c r="B155" t="s">
        <v>7</v>
      </c>
      <c r="C155">
        <v>7272346</v>
      </c>
      <c r="D155">
        <v>206292</v>
      </c>
      <c r="E155">
        <v>5369397</v>
      </c>
    </row>
    <row r="156" spans="1:5" x14ac:dyDescent="0.3">
      <c r="A156" t="s">
        <v>32</v>
      </c>
      <c r="B156" t="s">
        <v>8</v>
      </c>
      <c r="C156">
        <v>6093888</v>
      </c>
      <c r="D156">
        <v>145357</v>
      </c>
      <c r="E156">
        <v>4694922</v>
      </c>
    </row>
    <row r="157" spans="1:5" x14ac:dyDescent="0.3">
      <c r="A157" t="s">
        <v>32</v>
      </c>
      <c r="B157" t="s">
        <v>9</v>
      </c>
      <c r="C157">
        <v>6396076</v>
      </c>
      <c r="D157">
        <v>145182</v>
      </c>
      <c r="E157">
        <v>4671087</v>
      </c>
    </row>
    <row r="158" spans="1:5" x14ac:dyDescent="0.3">
      <c r="A158" t="s">
        <v>32</v>
      </c>
      <c r="B158" t="s">
        <v>10</v>
      </c>
      <c r="C158">
        <v>8241134</v>
      </c>
      <c r="D158">
        <v>247052</v>
      </c>
      <c r="E158">
        <v>7383783</v>
      </c>
    </row>
    <row r="159" spans="1:5" x14ac:dyDescent="0.3">
      <c r="A159" t="s">
        <v>32</v>
      </c>
      <c r="B159" t="s">
        <v>11</v>
      </c>
      <c r="C159">
        <v>16156020</v>
      </c>
      <c r="D159">
        <v>206748</v>
      </c>
      <c r="E159">
        <v>13108684</v>
      </c>
    </row>
    <row r="160" spans="1:5" x14ac:dyDescent="0.3">
      <c r="A160" t="s">
        <v>32</v>
      </c>
      <c r="B160" t="s">
        <v>12</v>
      </c>
      <c r="C160">
        <v>14105454</v>
      </c>
      <c r="D160">
        <v>304507</v>
      </c>
      <c r="E160">
        <v>12092106</v>
      </c>
    </row>
    <row r="161" spans="1:5" x14ac:dyDescent="0.3">
      <c r="A161" t="s">
        <v>32</v>
      </c>
      <c r="B161" t="s">
        <v>13</v>
      </c>
      <c r="C161">
        <v>17013484</v>
      </c>
      <c r="D161">
        <v>496498</v>
      </c>
      <c r="E161">
        <v>12497224</v>
      </c>
    </row>
    <row r="162" spans="1:5" x14ac:dyDescent="0.3">
      <c r="A162" t="s">
        <v>33</v>
      </c>
      <c r="B162" t="s">
        <v>6</v>
      </c>
      <c r="C162">
        <v>16452757</v>
      </c>
      <c r="D162">
        <v>268966</v>
      </c>
      <c r="E162">
        <v>12941299</v>
      </c>
    </row>
    <row r="163" spans="1:5" x14ac:dyDescent="0.3">
      <c r="A163" t="s">
        <v>33</v>
      </c>
      <c r="B163" t="s">
        <v>7</v>
      </c>
      <c r="C163">
        <v>7293609</v>
      </c>
      <c r="D163">
        <v>162418</v>
      </c>
      <c r="E163">
        <v>5785311</v>
      </c>
    </row>
    <row r="164" spans="1:5" x14ac:dyDescent="0.3">
      <c r="A164" t="s">
        <v>33</v>
      </c>
      <c r="B164" t="s">
        <v>8</v>
      </c>
      <c r="C164">
        <v>6096348</v>
      </c>
      <c r="D164">
        <v>101127</v>
      </c>
      <c r="E164">
        <v>4866111</v>
      </c>
    </row>
    <row r="165" spans="1:5" x14ac:dyDescent="0.3">
      <c r="A165" t="s">
        <v>33</v>
      </c>
      <c r="B165" t="s">
        <v>9</v>
      </c>
      <c r="C165">
        <v>6412145</v>
      </c>
      <c r="D165">
        <v>87984</v>
      </c>
      <c r="E165">
        <v>4814368</v>
      </c>
    </row>
    <row r="166" spans="1:5" x14ac:dyDescent="0.3">
      <c r="A166" t="s">
        <v>33</v>
      </c>
      <c r="B166" t="s">
        <v>10</v>
      </c>
      <c r="C166">
        <v>8288131</v>
      </c>
      <c r="D166">
        <v>84127</v>
      </c>
      <c r="E166">
        <v>6657574</v>
      </c>
    </row>
    <row r="167" spans="1:5" x14ac:dyDescent="0.3">
      <c r="A167" t="s">
        <v>33</v>
      </c>
      <c r="B167" t="s">
        <v>11</v>
      </c>
      <c r="C167">
        <v>16160673</v>
      </c>
      <c r="D167">
        <v>240933</v>
      </c>
      <c r="E167">
        <v>11654401</v>
      </c>
    </row>
    <row r="168" spans="1:5" x14ac:dyDescent="0.3">
      <c r="A168" t="s">
        <v>33</v>
      </c>
      <c r="B168" t="s">
        <v>12</v>
      </c>
      <c r="C168">
        <v>14148991</v>
      </c>
      <c r="D168">
        <v>257299</v>
      </c>
      <c r="E168">
        <v>12260281</v>
      </c>
    </row>
    <row r="169" spans="1:5" x14ac:dyDescent="0.3">
      <c r="A169" t="s">
        <v>33</v>
      </c>
      <c r="B169" t="s">
        <v>13</v>
      </c>
      <c r="C169">
        <v>17025508</v>
      </c>
      <c r="D169">
        <v>270706</v>
      </c>
      <c r="E169">
        <v>15136350</v>
      </c>
    </row>
    <row r="170" spans="1:5" x14ac:dyDescent="0.3">
      <c r="A170" t="s">
        <v>34</v>
      </c>
      <c r="B170" t="s">
        <v>6</v>
      </c>
      <c r="C170">
        <v>16462586</v>
      </c>
      <c r="D170">
        <v>407299</v>
      </c>
      <c r="E170">
        <v>13057108</v>
      </c>
    </row>
    <row r="171" spans="1:5" x14ac:dyDescent="0.3">
      <c r="A171" t="s">
        <v>34</v>
      </c>
      <c r="B171" t="s">
        <v>7</v>
      </c>
      <c r="C171">
        <v>7339146</v>
      </c>
      <c r="D171">
        <v>124923</v>
      </c>
      <c r="E171">
        <v>5373850</v>
      </c>
    </row>
    <row r="172" spans="1:5" x14ac:dyDescent="0.3">
      <c r="A172" t="s">
        <v>34</v>
      </c>
      <c r="B172" t="s">
        <v>8</v>
      </c>
      <c r="C172">
        <v>6125242</v>
      </c>
      <c r="D172">
        <v>140256</v>
      </c>
      <c r="E172">
        <v>5427372</v>
      </c>
    </row>
    <row r="173" spans="1:5" x14ac:dyDescent="0.3">
      <c r="A173" t="s">
        <v>34</v>
      </c>
      <c r="B173" t="s">
        <v>9</v>
      </c>
      <c r="C173">
        <v>6453793</v>
      </c>
      <c r="D173">
        <v>104876</v>
      </c>
      <c r="E173">
        <v>4865939</v>
      </c>
    </row>
    <row r="174" spans="1:5" x14ac:dyDescent="0.3">
      <c r="A174" t="s">
        <v>34</v>
      </c>
      <c r="B174" t="s">
        <v>10</v>
      </c>
      <c r="C174">
        <v>8317698</v>
      </c>
      <c r="D174">
        <v>133838</v>
      </c>
      <c r="E174">
        <v>6733876</v>
      </c>
    </row>
    <row r="175" spans="1:5" x14ac:dyDescent="0.3">
      <c r="A175" t="s">
        <v>34</v>
      </c>
      <c r="B175" t="s">
        <v>11</v>
      </c>
      <c r="C175">
        <v>16173583</v>
      </c>
      <c r="D175">
        <v>441664</v>
      </c>
      <c r="E175">
        <v>14287996</v>
      </c>
    </row>
    <row r="176" spans="1:5" x14ac:dyDescent="0.3">
      <c r="A176" t="s">
        <v>34</v>
      </c>
      <c r="B176" t="s">
        <v>12</v>
      </c>
      <c r="C176">
        <v>14194846</v>
      </c>
      <c r="D176">
        <v>301630</v>
      </c>
      <c r="E176">
        <v>11514062</v>
      </c>
    </row>
    <row r="177" spans="1:5" x14ac:dyDescent="0.3">
      <c r="A177" t="s">
        <v>34</v>
      </c>
      <c r="B177" t="s">
        <v>13</v>
      </c>
      <c r="C177">
        <v>17048347</v>
      </c>
      <c r="D177">
        <v>228904</v>
      </c>
      <c r="E177">
        <v>14050722</v>
      </c>
    </row>
    <row r="178" spans="1:5" x14ac:dyDescent="0.3">
      <c r="A178" t="s">
        <v>35</v>
      </c>
      <c r="B178" t="s">
        <v>6</v>
      </c>
      <c r="C178">
        <v>16466816</v>
      </c>
      <c r="D178">
        <v>454439</v>
      </c>
      <c r="E178">
        <v>12338973</v>
      </c>
    </row>
    <row r="179" spans="1:5" x14ac:dyDescent="0.3">
      <c r="A179" t="s">
        <v>35</v>
      </c>
      <c r="B179" t="s">
        <v>7</v>
      </c>
      <c r="C179">
        <v>7356547</v>
      </c>
      <c r="D179">
        <v>116748</v>
      </c>
      <c r="E179">
        <v>5207246</v>
      </c>
    </row>
    <row r="180" spans="1:5" x14ac:dyDescent="0.3">
      <c r="A180" t="s">
        <v>35</v>
      </c>
      <c r="B180" t="s">
        <v>8</v>
      </c>
      <c r="C180">
        <v>6173396</v>
      </c>
      <c r="D180">
        <v>165742</v>
      </c>
      <c r="E180">
        <v>4833447</v>
      </c>
    </row>
    <row r="181" spans="1:5" x14ac:dyDescent="0.3">
      <c r="A181" t="s">
        <v>35</v>
      </c>
      <c r="B181" t="s">
        <v>9</v>
      </c>
      <c r="C181">
        <v>6473755</v>
      </c>
      <c r="D181">
        <v>107075</v>
      </c>
      <c r="E181">
        <v>5614401</v>
      </c>
    </row>
    <row r="182" spans="1:5" x14ac:dyDescent="0.3">
      <c r="A182" t="s">
        <v>35</v>
      </c>
      <c r="B182" t="s">
        <v>10</v>
      </c>
      <c r="C182">
        <v>8362694</v>
      </c>
      <c r="D182">
        <v>182202</v>
      </c>
      <c r="E182">
        <v>5876395</v>
      </c>
    </row>
    <row r="183" spans="1:5" x14ac:dyDescent="0.3">
      <c r="A183" t="s">
        <v>35</v>
      </c>
      <c r="B183" t="s">
        <v>11</v>
      </c>
      <c r="C183">
        <v>16195583</v>
      </c>
      <c r="D183">
        <v>183704</v>
      </c>
      <c r="E183">
        <v>13635010</v>
      </c>
    </row>
    <row r="184" spans="1:5" x14ac:dyDescent="0.3">
      <c r="A184" t="s">
        <v>35</v>
      </c>
      <c r="B184" t="s">
        <v>12</v>
      </c>
      <c r="C184">
        <v>14244523</v>
      </c>
      <c r="D184">
        <v>196543</v>
      </c>
      <c r="E184">
        <v>10834653</v>
      </c>
    </row>
    <row r="185" spans="1:5" x14ac:dyDescent="0.3">
      <c r="A185" t="s">
        <v>35</v>
      </c>
      <c r="B185" t="s">
        <v>13</v>
      </c>
      <c r="C185">
        <v>17095448</v>
      </c>
      <c r="D185">
        <v>204698</v>
      </c>
      <c r="E185">
        <v>13494797</v>
      </c>
    </row>
    <row r="186" spans="1:5" x14ac:dyDescent="0.3">
      <c r="A186" t="s">
        <v>36</v>
      </c>
      <c r="B186" t="s">
        <v>6</v>
      </c>
      <c r="C186">
        <v>16493869</v>
      </c>
      <c r="D186">
        <v>379663</v>
      </c>
      <c r="E186">
        <v>13935647</v>
      </c>
    </row>
    <row r="187" spans="1:5" x14ac:dyDescent="0.3">
      <c r="A187" t="s">
        <v>36</v>
      </c>
      <c r="B187" t="s">
        <v>7</v>
      </c>
      <c r="C187">
        <v>7375540</v>
      </c>
      <c r="D187">
        <v>156765</v>
      </c>
      <c r="E187">
        <v>6245294</v>
      </c>
    </row>
    <row r="188" spans="1:5" x14ac:dyDescent="0.3">
      <c r="A188" t="s">
        <v>36</v>
      </c>
      <c r="B188" t="s">
        <v>8</v>
      </c>
      <c r="C188">
        <v>6194154</v>
      </c>
      <c r="D188">
        <v>108373</v>
      </c>
      <c r="E188">
        <v>4398208</v>
      </c>
    </row>
    <row r="189" spans="1:5" x14ac:dyDescent="0.3">
      <c r="A189" t="s">
        <v>36</v>
      </c>
      <c r="B189" t="s">
        <v>9</v>
      </c>
      <c r="C189">
        <v>6482981</v>
      </c>
      <c r="D189">
        <v>135076</v>
      </c>
      <c r="E189">
        <v>4738681</v>
      </c>
    </row>
    <row r="190" spans="1:5" x14ac:dyDescent="0.3">
      <c r="A190" t="s">
        <v>36</v>
      </c>
      <c r="B190" t="s">
        <v>10</v>
      </c>
      <c r="C190">
        <v>8383656</v>
      </c>
      <c r="D190">
        <v>227723</v>
      </c>
      <c r="E190">
        <v>6189268</v>
      </c>
    </row>
    <row r="191" spans="1:5" x14ac:dyDescent="0.3">
      <c r="A191" t="s">
        <v>36</v>
      </c>
      <c r="B191" t="s">
        <v>11</v>
      </c>
      <c r="C191">
        <v>16232125</v>
      </c>
      <c r="D191">
        <v>312884</v>
      </c>
      <c r="E191">
        <v>13149206</v>
      </c>
    </row>
    <row r="192" spans="1:5" x14ac:dyDescent="0.3">
      <c r="A192" t="s">
        <v>36</v>
      </c>
      <c r="B192" t="s">
        <v>12</v>
      </c>
      <c r="C192">
        <v>14261299</v>
      </c>
      <c r="D192">
        <v>157034</v>
      </c>
      <c r="E192">
        <v>10401046</v>
      </c>
    </row>
    <row r="193" spans="1:5" x14ac:dyDescent="0.3">
      <c r="A193" t="s">
        <v>36</v>
      </c>
      <c r="B193" t="s">
        <v>13</v>
      </c>
      <c r="C193">
        <v>17110816</v>
      </c>
      <c r="D193">
        <v>224670</v>
      </c>
      <c r="E193">
        <v>15307525</v>
      </c>
    </row>
    <row r="194" spans="1:5" x14ac:dyDescent="0.3">
      <c r="A194" t="s">
        <v>37</v>
      </c>
      <c r="B194" t="s">
        <v>6</v>
      </c>
      <c r="C194">
        <v>16534904</v>
      </c>
      <c r="D194">
        <v>491212</v>
      </c>
      <c r="E194">
        <v>14862036</v>
      </c>
    </row>
    <row r="195" spans="1:5" x14ac:dyDescent="0.3">
      <c r="A195" t="s">
        <v>37</v>
      </c>
      <c r="B195" t="s">
        <v>7</v>
      </c>
      <c r="C195">
        <v>7391053</v>
      </c>
      <c r="D195">
        <v>84091</v>
      </c>
      <c r="E195">
        <v>5547275</v>
      </c>
    </row>
    <row r="196" spans="1:5" x14ac:dyDescent="0.3">
      <c r="A196" t="s">
        <v>37</v>
      </c>
      <c r="B196" t="s">
        <v>8</v>
      </c>
      <c r="C196">
        <v>6203112</v>
      </c>
      <c r="D196">
        <v>152462</v>
      </c>
      <c r="E196">
        <v>4762684</v>
      </c>
    </row>
    <row r="197" spans="1:5" x14ac:dyDescent="0.3">
      <c r="A197" t="s">
        <v>37</v>
      </c>
      <c r="B197" t="s">
        <v>9</v>
      </c>
      <c r="C197">
        <v>6503595</v>
      </c>
      <c r="D197">
        <v>128078</v>
      </c>
      <c r="E197">
        <v>4640175</v>
      </c>
    </row>
    <row r="198" spans="1:5" x14ac:dyDescent="0.3">
      <c r="A198" t="s">
        <v>37</v>
      </c>
      <c r="B198" t="s">
        <v>10</v>
      </c>
      <c r="C198">
        <v>8406576</v>
      </c>
      <c r="D198">
        <v>116310</v>
      </c>
      <c r="E198">
        <v>6112660</v>
      </c>
    </row>
    <row r="199" spans="1:5" x14ac:dyDescent="0.3">
      <c r="A199" t="s">
        <v>37</v>
      </c>
      <c r="B199" t="s">
        <v>11</v>
      </c>
      <c r="C199">
        <v>16248564</v>
      </c>
      <c r="D199">
        <v>231474</v>
      </c>
      <c r="E199">
        <v>13317531</v>
      </c>
    </row>
    <row r="200" spans="1:5" x14ac:dyDescent="0.3">
      <c r="A200" t="s">
        <v>37</v>
      </c>
      <c r="B200" t="s">
        <v>12</v>
      </c>
      <c r="C200">
        <v>14292569</v>
      </c>
      <c r="D200">
        <v>317615</v>
      </c>
      <c r="E200">
        <v>10862331</v>
      </c>
    </row>
    <row r="201" spans="1:5" x14ac:dyDescent="0.3">
      <c r="A201" t="s">
        <v>37</v>
      </c>
      <c r="B201" t="s">
        <v>13</v>
      </c>
      <c r="C201">
        <v>17150378</v>
      </c>
      <c r="D201">
        <v>492848</v>
      </c>
      <c r="E201">
        <v>15262074</v>
      </c>
    </row>
    <row r="202" spans="1:5" x14ac:dyDescent="0.3">
      <c r="A202" t="s">
        <v>38</v>
      </c>
      <c r="B202" t="s">
        <v>6</v>
      </c>
      <c r="C202">
        <v>16557022</v>
      </c>
      <c r="D202">
        <v>208825</v>
      </c>
      <c r="E202">
        <v>14790707</v>
      </c>
    </row>
    <row r="203" spans="1:5" x14ac:dyDescent="0.3">
      <c r="A203" t="s">
        <v>38</v>
      </c>
      <c r="B203" t="s">
        <v>7</v>
      </c>
      <c r="C203">
        <v>7393393</v>
      </c>
      <c r="D203">
        <v>147027</v>
      </c>
      <c r="E203">
        <v>6392555</v>
      </c>
    </row>
    <row r="204" spans="1:5" x14ac:dyDescent="0.3">
      <c r="A204" t="s">
        <v>38</v>
      </c>
      <c r="B204" t="s">
        <v>8</v>
      </c>
      <c r="C204">
        <v>6230933</v>
      </c>
      <c r="D204">
        <v>77600</v>
      </c>
      <c r="E204">
        <v>5392780</v>
      </c>
    </row>
    <row r="205" spans="1:5" x14ac:dyDescent="0.3">
      <c r="A205" t="s">
        <v>38</v>
      </c>
      <c r="B205" t="s">
        <v>9</v>
      </c>
      <c r="C205">
        <v>6538910</v>
      </c>
      <c r="D205">
        <v>122476</v>
      </c>
      <c r="E205">
        <v>5196410</v>
      </c>
    </row>
    <row r="206" spans="1:5" x14ac:dyDescent="0.3">
      <c r="A206" t="s">
        <v>38</v>
      </c>
      <c r="B206" t="s">
        <v>10</v>
      </c>
      <c r="C206">
        <v>8441627</v>
      </c>
      <c r="D206">
        <v>159869</v>
      </c>
      <c r="E206">
        <v>6005322</v>
      </c>
    </row>
    <row r="207" spans="1:5" x14ac:dyDescent="0.3">
      <c r="A207" t="s">
        <v>38</v>
      </c>
      <c r="B207" t="s">
        <v>11</v>
      </c>
      <c r="C207">
        <v>16265664</v>
      </c>
      <c r="D207">
        <v>419993</v>
      </c>
      <c r="E207">
        <v>13511134</v>
      </c>
    </row>
    <row r="208" spans="1:5" x14ac:dyDescent="0.3">
      <c r="A208" t="s">
        <v>38</v>
      </c>
      <c r="B208" t="s">
        <v>12</v>
      </c>
      <c r="C208">
        <v>14306788</v>
      </c>
      <c r="D208">
        <v>289705</v>
      </c>
      <c r="E208">
        <v>11284596</v>
      </c>
    </row>
    <row r="209" spans="1:5" x14ac:dyDescent="0.3">
      <c r="A209" t="s">
        <v>38</v>
      </c>
      <c r="B209" t="s">
        <v>13</v>
      </c>
      <c r="C209">
        <v>17197169</v>
      </c>
      <c r="D209">
        <v>178563</v>
      </c>
      <c r="E209">
        <v>13970407</v>
      </c>
    </row>
    <row r="210" spans="1:5" x14ac:dyDescent="0.3">
      <c r="A210" t="s">
        <v>39</v>
      </c>
      <c r="B210" t="s">
        <v>6</v>
      </c>
      <c r="C210">
        <v>16575679</v>
      </c>
      <c r="D210">
        <v>426814</v>
      </c>
      <c r="E210">
        <v>12518029</v>
      </c>
    </row>
    <row r="211" spans="1:5" x14ac:dyDescent="0.3">
      <c r="A211" t="s">
        <v>39</v>
      </c>
      <c r="B211" t="s">
        <v>7</v>
      </c>
      <c r="C211">
        <v>7413339</v>
      </c>
      <c r="D211">
        <v>173367</v>
      </c>
      <c r="E211">
        <v>6586013</v>
      </c>
    </row>
    <row r="212" spans="1:5" x14ac:dyDescent="0.3">
      <c r="A212" t="s">
        <v>39</v>
      </c>
      <c r="B212" t="s">
        <v>8</v>
      </c>
      <c r="C212">
        <v>6252899</v>
      </c>
      <c r="D212">
        <v>91035</v>
      </c>
      <c r="E212">
        <v>4986420</v>
      </c>
    </row>
    <row r="213" spans="1:5" x14ac:dyDescent="0.3">
      <c r="A213" t="s">
        <v>39</v>
      </c>
      <c r="B213" t="s">
        <v>9</v>
      </c>
      <c r="C213">
        <v>6576412</v>
      </c>
      <c r="D213">
        <v>142544</v>
      </c>
      <c r="E213">
        <v>5482696</v>
      </c>
    </row>
    <row r="214" spans="1:5" x14ac:dyDescent="0.3">
      <c r="A214" t="s">
        <v>39</v>
      </c>
      <c r="B214" t="s">
        <v>10</v>
      </c>
      <c r="C214">
        <v>8473849</v>
      </c>
      <c r="D214">
        <v>90949</v>
      </c>
      <c r="E214">
        <v>6117907</v>
      </c>
    </row>
    <row r="215" spans="1:5" x14ac:dyDescent="0.3">
      <c r="A215" t="s">
        <v>39</v>
      </c>
      <c r="B215" t="s">
        <v>11</v>
      </c>
      <c r="C215">
        <v>16276211</v>
      </c>
      <c r="D215">
        <v>333221</v>
      </c>
      <c r="E215">
        <v>12534008</v>
      </c>
    </row>
    <row r="216" spans="1:5" x14ac:dyDescent="0.3">
      <c r="A216" t="s">
        <v>39</v>
      </c>
      <c r="B216" t="s">
        <v>12</v>
      </c>
      <c r="C216">
        <v>14318283</v>
      </c>
      <c r="D216">
        <v>316612</v>
      </c>
      <c r="E216">
        <v>12242541</v>
      </c>
    </row>
    <row r="217" spans="1:5" x14ac:dyDescent="0.3">
      <c r="A217" t="s">
        <v>39</v>
      </c>
      <c r="B217" t="s">
        <v>13</v>
      </c>
      <c r="C217">
        <v>17238879</v>
      </c>
      <c r="D217">
        <v>452997</v>
      </c>
      <c r="E217">
        <v>14080180</v>
      </c>
    </row>
    <row r="218" spans="1:5" x14ac:dyDescent="0.3">
      <c r="A218" t="s">
        <v>40</v>
      </c>
      <c r="B218" t="s">
        <v>6</v>
      </c>
      <c r="C218">
        <v>16600257</v>
      </c>
      <c r="D218">
        <v>487610</v>
      </c>
      <c r="E218">
        <v>13739886</v>
      </c>
    </row>
    <row r="219" spans="1:5" x14ac:dyDescent="0.3">
      <c r="A219" t="s">
        <v>40</v>
      </c>
      <c r="B219" t="s">
        <v>7</v>
      </c>
      <c r="C219">
        <v>7455917</v>
      </c>
      <c r="D219">
        <v>174445</v>
      </c>
      <c r="E219">
        <v>6357174</v>
      </c>
    </row>
    <row r="220" spans="1:5" x14ac:dyDescent="0.3">
      <c r="A220" t="s">
        <v>40</v>
      </c>
      <c r="B220" t="s">
        <v>8</v>
      </c>
      <c r="C220">
        <v>6288830</v>
      </c>
      <c r="D220">
        <v>167383</v>
      </c>
      <c r="E220">
        <v>5158767</v>
      </c>
    </row>
    <row r="221" spans="1:5" x14ac:dyDescent="0.3">
      <c r="A221" t="s">
        <v>40</v>
      </c>
      <c r="B221" t="s">
        <v>9</v>
      </c>
      <c r="C221">
        <v>6618947</v>
      </c>
      <c r="D221">
        <v>73012</v>
      </c>
      <c r="E221">
        <v>4998682</v>
      </c>
    </row>
    <row r="222" spans="1:5" x14ac:dyDescent="0.3">
      <c r="A222" t="s">
        <v>40</v>
      </c>
      <c r="B222" t="s">
        <v>10</v>
      </c>
      <c r="C222">
        <v>8513528</v>
      </c>
      <c r="D222">
        <v>98698</v>
      </c>
      <c r="E222">
        <v>6774232</v>
      </c>
    </row>
    <row r="223" spans="1:5" x14ac:dyDescent="0.3">
      <c r="A223" t="s">
        <v>40</v>
      </c>
      <c r="B223" t="s">
        <v>11</v>
      </c>
      <c r="C223">
        <v>16287232</v>
      </c>
      <c r="D223">
        <v>385826</v>
      </c>
      <c r="E223">
        <v>12545306</v>
      </c>
    </row>
    <row r="224" spans="1:5" x14ac:dyDescent="0.3">
      <c r="A224" t="s">
        <v>40</v>
      </c>
      <c r="B224" t="s">
        <v>12</v>
      </c>
      <c r="C224">
        <v>14339170</v>
      </c>
      <c r="D224">
        <v>153018</v>
      </c>
      <c r="E224">
        <v>11681570</v>
      </c>
    </row>
    <row r="225" spans="1:5" x14ac:dyDescent="0.3">
      <c r="A225" t="s">
        <v>40</v>
      </c>
      <c r="B225" t="s">
        <v>13</v>
      </c>
      <c r="C225">
        <v>17275897</v>
      </c>
      <c r="D225">
        <v>359918</v>
      </c>
      <c r="E225">
        <v>13262055</v>
      </c>
    </row>
    <row r="226" spans="1:5" x14ac:dyDescent="0.3">
      <c r="A226" t="s">
        <v>41</v>
      </c>
      <c r="B226" t="s">
        <v>6</v>
      </c>
      <c r="C226">
        <v>16646416</v>
      </c>
      <c r="D226">
        <v>494685</v>
      </c>
      <c r="E226">
        <v>13159952</v>
      </c>
    </row>
    <row r="227" spans="1:5" x14ac:dyDescent="0.3">
      <c r="A227" t="s">
        <v>41</v>
      </c>
      <c r="B227" t="s">
        <v>7</v>
      </c>
      <c r="C227">
        <v>7502006</v>
      </c>
      <c r="D227">
        <v>171903</v>
      </c>
      <c r="E227">
        <v>6155778</v>
      </c>
    </row>
    <row r="228" spans="1:5" x14ac:dyDescent="0.3">
      <c r="A228" t="s">
        <v>41</v>
      </c>
      <c r="B228" t="s">
        <v>8</v>
      </c>
      <c r="C228">
        <v>6334756</v>
      </c>
      <c r="D228">
        <v>166863</v>
      </c>
      <c r="E228">
        <v>5657777</v>
      </c>
    </row>
    <row r="229" spans="1:5" x14ac:dyDescent="0.3">
      <c r="A229" t="s">
        <v>41</v>
      </c>
      <c r="B229" t="s">
        <v>9</v>
      </c>
      <c r="C229">
        <v>6637434</v>
      </c>
      <c r="D229">
        <v>184953</v>
      </c>
      <c r="E229">
        <v>5263720</v>
      </c>
    </row>
    <row r="230" spans="1:5" x14ac:dyDescent="0.3">
      <c r="A230" t="s">
        <v>41</v>
      </c>
      <c r="B230" t="s">
        <v>10</v>
      </c>
      <c r="C230">
        <v>8535726</v>
      </c>
      <c r="D230">
        <v>168228</v>
      </c>
      <c r="E230">
        <v>6573759</v>
      </c>
    </row>
    <row r="231" spans="1:5" x14ac:dyDescent="0.3">
      <c r="A231" t="s">
        <v>41</v>
      </c>
      <c r="B231" t="s">
        <v>11</v>
      </c>
      <c r="C231">
        <v>16332832</v>
      </c>
      <c r="D231">
        <v>263788</v>
      </c>
      <c r="E231">
        <v>14437924</v>
      </c>
    </row>
    <row r="232" spans="1:5" x14ac:dyDescent="0.3">
      <c r="A232" t="s">
        <v>41</v>
      </c>
      <c r="B232" t="s">
        <v>12</v>
      </c>
      <c r="C232">
        <v>14347501</v>
      </c>
      <c r="D232">
        <v>341494</v>
      </c>
      <c r="E232">
        <v>12255589</v>
      </c>
    </row>
    <row r="233" spans="1:5" x14ac:dyDescent="0.3">
      <c r="A233" t="s">
        <v>41</v>
      </c>
      <c r="B233" t="s">
        <v>13</v>
      </c>
      <c r="C233">
        <v>17282942</v>
      </c>
      <c r="D233">
        <v>361611</v>
      </c>
      <c r="E233">
        <v>15465867</v>
      </c>
    </row>
    <row r="234" spans="1:5" x14ac:dyDescent="0.3">
      <c r="A234" t="s">
        <v>42</v>
      </c>
      <c r="B234" t="s">
        <v>6</v>
      </c>
      <c r="C234">
        <v>16665687</v>
      </c>
      <c r="D234">
        <v>337086</v>
      </c>
      <c r="E234">
        <v>14821280</v>
      </c>
    </row>
    <row r="235" spans="1:5" x14ac:dyDescent="0.3">
      <c r="A235" t="s">
        <v>42</v>
      </c>
      <c r="B235" t="s">
        <v>7</v>
      </c>
      <c r="C235">
        <v>7504806</v>
      </c>
      <c r="D235">
        <v>219545</v>
      </c>
      <c r="E235">
        <v>5889205</v>
      </c>
    </row>
    <row r="236" spans="1:5" x14ac:dyDescent="0.3">
      <c r="A236" t="s">
        <v>42</v>
      </c>
      <c r="B236" t="s">
        <v>8</v>
      </c>
      <c r="C236">
        <v>6361993</v>
      </c>
      <c r="D236">
        <v>181613</v>
      </c>
      <c r="E236">
        <v>5221309</v>
      </c>
    </row>
    <row r="237" spans="1:5" x14ac:dyDescent="0.3">
      <c r="A237" t="s">
        <v>42</v>
      </c>
      <c r="B237" t="s">
        <v>9</v>
      </c>
      <c r="C237">
        <v>6669049</v>
      </c>
      <c r="D237">
        <v>129171</v>
      </c>
      <c r="E237">
        <v>4915190</v>
      </c>
    </row>
    <row r="238" spans="1:5" x14ac:dyDescent="0.3">
      <c r="A238" t="s">
        <v>42</v>
      </c>
      <c r="B238" t="s">
        <v>10</v>
      </c>
      <c r="C238">
        <v>8549734</v>
      </c>
      <c r="D238">
        <v>230653</v>
      </c>
      <c r="E238">
        <v>7683870</v>
      </c>
    </row>
    <row r="239" spans="1:5" x14ac:dyDescent="0.3">
      <c r="A239" t="s">
        <v>42</v>
      </c>
      <c r="B239" t="s">
        <v>11</v>
      </c>
      <c r="C239">
        <v>16368221</v>
      </c>
      <c r="D239">
        <v>307636</v>
      </c>
      <c r="E239">
        <v>11834069</v>
      </c>
    </row>
    <row r="240" spans="1:5" x14ac:dyDescent="0.3">
      <c r="A240" t="s">
        <v>42</v>
      </c>
      <c r="B240" t="s">
        <v>12</v>
      </c>
      <c r="C240">
        <v>14373475</v>
      </c>
      <c r="D240">
        <v>151214</v>
      </c>
      <c r="E240">
        <v>11524406</v>
      </c>
    </row>
    <row r="241" spans="1:5" x14ac:dyDescent="0.3">
      <c r="A241" t="s">
        <v>42</v>
      </c>
      <c r="B241" t="s">
        <v>13</v>
      </c>
      <c r="C241">
        <v>17330020</v>
      </c>
      <c r="D241">
        <v>238028</v>
      </c>
      <c r="E241">
        <v>14817863</v>
      </c>
    </row>
    <row r="242" spans="1:5" x14ac:dyDescent="0.3">
      <c r="A242" t="s">
        <v>43</v>
      </c>
      <c r="B242" t="s">
        <v>6</v>
      </c>
      <c r="C242">
        <v>16678689</v>
      </c>
      <c r="D242">
        <v>201975</v>
      </c>
      <c r="E242">
        <v>14450814</v>
      </c>
    </row>
    <row r="243" spans="1:5" x14ac:dyDescent="0.3">
      <c r="A243" t="s">
        <v>43</v>
      </c>
      <c r="B243" t="s">
        <v>7</v>
      </c>
      <c r="C243">
        <v>7524703</v>
      </c>
      <c r="D243">
        <v>80451</v>
      </c>
      <c r="E243">
        <v>6587746</v>
      </c>
    </row>
    <row r="244" spans="1:5" x14ac:dyDescent="0.3">
      <c r="A244" t="s">
        <v>43</v>
      </c>
      <c r="B244" t="s">
        <v>8</v>
      </c>
      <c r="C244">
        <v>6410694</v>
      </c>
      <c r="D244">
        <v>132918</v>
      </c>
      <c r="E244">
        <v>5376376</v>
      </c>
    </row>
    <row r="245" spans="1:5" x14ac:dyDescent="0.3">
      <c r="A245" t="s">
        <v>43</v>
      </c>
      <c r="B245" t="s">
        <v>9</v>
      </c>
      <c r="C245">
        <v>6706338</v>
      </c>
      <c r="D245">
        <v>135734</v>
      </c>
      <c r="E245">
        <v>4889766</v>
      </c>
    </row>
    <row r="246" spans="1:5" x14ac:dyDescent="0.3">
      <c r="A246" t="s">
        <v>43</v>
      </c>
      <c r="B246" t="s">
        <v>10</v>
      </c>
      <c r="C246">
        <v>8581389</v>
      </c>
      <c r="D246">
        <v>108443</v>
      </c>
      <c r="E246">
        <v>6358365</v>
      </c>
    </row>
    <row r="247" spans="1:5" x14ac:dyDescent="0.3">
      <c r="A247" t="s">
        <v>43</v>
      </c>
      <c r="B247" t="s">
        <v>11</v>
      </c>
      <c r="C247">
        <v>16399307</v>
      </c>
      <c r="D247">
        <v>237365</v>
      </c>
      <c r="E247">
        <v>11847275</v>
      </c>
    </row>
    <row r="248" spans="1:5" x14ac:dyDescent="0.3">
      <c r="A248" t="s">
        <v>43</v>
      </c>
      <c r="B248" t="s">
        <v>12</v>
      </c>
      <c r="C248">
        <v>14411524</v>
      </c>
      <c r="D248">
        <v>347564</v>
      </c>
      <c r="E248">
        <v>12621912</v>
      </c>
    </row>
    <row r="249" spans="1:5" x14ac:dyDescent="0.3">
      <c r="A249" t="s">
        <v>43</v>
      </c>
      <c r="B249" t="s">
        <v>13</v>
      </c>
      <c r="C249">
        <v>17337945</v>
      </c>
      <c r="D249">
        <v>305761</v>
      </c>
      <c r="E249">
        <v>15249431</v>
      </c>
    </row>
    <row r="250" spans="1:5" x14ac:dyDescent="0.3">
      <c r="A250" t="s">
        <v>44</v>
      </c>
      <c r="B250" t="s">
        <v>6</v>
      </c>
      <c r="C250">
        <v>16709238</v>
      </c>
      <c r="D250">
        <v>432003</v>
      </c>
      <c r="E250">
        <v>12705501</v>
      </c>
    </row>
    <row r="251" spans="1:5" x14ac:dyDescent="0.3">
      <c r="A251" t="s">
        <v>44</v>
      </c>
      <c r="B251" t="s">
        <v>7</v>
      </c>
      <c r="C251">
        <v>7558571</v>
      </c>
      <c r="D251">
        <v>105263</v>
      </c>
      <c r="E251">
        <v>6756257</v>
      </c>
    </row>
    <row r="252" spans="1:5" x14ac:dyDescent="0.3">
      <c r="A252" t="s">
        <v>44</v>
      </c>
      <c r="B252" t="s">
        <v>8</v>
      </c>
      <c r="C252">
        <v>6421872</v>
      </c>
      <c r="D252">
        <v>128756</v>
      </c>
      <c r="E252">
        <v>4682774</v>
      </c>
    </row>
    <row r="253" spans="1:5" x14ac:dyDescent="0.3">
      <c r="A253" t="s">
        <v>44</v>
      </c>
      <c r="B253" t="s">
        <v>9</v>
      </c>
      <c r="C253">
        <v>6751441</v>
      </c>
      <c r="D253">
        <v>177045</v>
      </c>
      <c r="E253">
        <v>5305837</v>
      </c>
    </row>
    <row r="254" spans="1:5" x14ac:dyDescent="0.3">
      <c r="A254" t="s">
        <v>44</v>
      </c>
      <c r="B254" t="s">
        <v>10</v>
      </c>
      <c r="C254">
        <v>8614079</v>
      </c>
      <c r="D254">
        <v>250203</v>
      </c>
      <c r="E254">
        <v>6657127</v>
      </c>
    </row>
    <row r="255" spans="1:5" x14ac:dyDescent="0.3">
      <c r="A255" t="s">
        <v>44</v>
      </c>
      <c r="B255" t="s">
        <v>11</v>
      </c>
      <c r="C255">
        <v>16418649</v>
      </c>
      <c r="D255">
        <v>179108</v>
      </c>
      <c r="E255">
        <v>12483609</v>
      </c>
    </row>
    <row r="256" spans="1:5" x14ac:dyDescent="0.3">
      <c r="A256" t="s">
        <v>44</v>
      </c>
      <c r="B256" t="s">
        <v>12</v>
      </c>
      <c r="C256">
        <v>14461129</v>
      </c>
      <c r="D256">
        <v>147245</v>
      </c>
      <c r="E256">
        <v>11623365</v>
      </c>
    </row>
    <row r="257" spans="1:5" x14ac:dyDescent="0.3">
      <c r="A257" t="s">
        <v>44</v>
      </c>
      <c r="B257" t="s">
        <v>13</v>
      </c>
      <c r="C257">
        <v>17386916</v>
      </c>
      <c r="D257">
        <v>460970</v>
      </c>
      <c r="E257">
        <v>12237626</v>
      </c>
    </row>
    <row r="258" spans="1:5" x14ac:dyDescent="0.3">
      <c r="A258" t="s">
        <v>45</v>
      </c>
      <c r="B258" t="s">
        <v>6</v>
      </c>
      <c r="C258">
        <v>16741908</v>
      </c>
      <c r="D258">
        <v>413961</v>
      </c>
      <c r="E258">
        <v>14223919</v>
      </c>
    </row>
    <row r="259" spans="1:5" x14ac:dyDescent="0.3">
      <c r="A259" t="s">
        <v>45</v>
      </c>
      <c r="B259" t="s">
        <v>7</v>
      </c>
      <c r="C259">
        <v>7570035</v>
      </c>
      <c r="D259">
        <v>80502</v>
      </c>
      <c r="E259">
        <v>5727451</v>
      </c>
    </row>
    <row r="260" spans="1:5" x14ac:dyDescent="0.3">
      <c r="A260" t="s">
        <v>45</v>
      </c>
      <c r="B260" t="s">
        <v>8</v>
      </c>
      <c r="C260">
        <v>6470175</v>
      </c>
      <c r="D260">
        <v>117302</v>
      </c>
      <c r="E260">
        <v>4649012</v>
      </c>
    </row>
    <row r="261" spans="1:5" x14ac:dyDescent="0.3">
      <c r="A261" t="s">
        <v>45</v>
      </c>
      <c r="B261" t="s">
        <v>9</v>
      </c>
      <c r="C261">
        <v>6770578</v>
      </c>
      <c r="D261">
        <v>120492</v>
      </c>
      <c r="E261">
        <v>5660043</v>
      </c>
    </row>
    <row r="262" spans="1:5" x14ac:dyDescent="0.3">
      <c r="A262" t="s">
        <v>45</v>
      </c>
      <c r="B262" t="s">
        <v>10</v>
      </c>
      <c r="C262">
        <v>8631520</v>
      </c>
      <c r="D262">
        <v>123597</v>
      </c>
      <c r="E262">
        <v>7143364</v>
      </c>
    </row>
    <row r="263" spans="1:5" x14ac:dyDescent="0.3">
      <c r="A263" t="s">
        <v>45</v>
      </c>
      <c r="B263" t="s">
        <v>11</v>
      </c>
      <c r="C263">
        <v>16421993</v>
      </c>
      <c r="D263">
        <v>179236</v>
      </c>
      <c r="E263">
        <v>11711402</v>
      </c>
    </row>
    <row r="264" spans="1:5" x14ac:dyDescent="0.3">
      <c r="A264" t="s">
        <v>45</v>
      </c>
      <c r="B264" t="s">
        <v>12</v>
      </c>
      <c r="C264">
        <v>14468499</v>
      </c>
      <c r="D264">
        <v>185004</v>
      </c>
      <c r="E264">
        <v>12161988</v>
      </c>
    </row>
    <row r="265" spans="1:5" x14ac:dyDescent="0.3">
      <c r="A265" t="s">
        <v>45</v>
      </c>
      <c r="B265" t="s">
        <v>13</v>
      </c>
      <c r="C265">
        <v>17434140</v>
      </c>
      <c r="D265">
        <v>411412</v>
      </c>
      <c r="E265">
        <v>15346894</v>
      </c>
    </row>
    <row r="266" spans="1:5" x14ac:dyDescent="0.3">
      <c r="A266" t="s">
        <v>46</v>
      </c>
      <c r="B266" t="s">
        <v>6</v>
      </c>
      <c r="C266">
        <v>16787071</v>
      </c>
      <c r="D266">
        <v>230534</v>
      </c>
      <c r="E266">
        <v>14952776</v>
      </c>
    </row>
    <row r="267" spans="1:5" x14ac:dyDescent="0.3">
      <c r="A267" t="s">
        <v>46</v>
      </c>
      <c r="B267" t="s">
        <v>7</v>
      </c>
      <c r="C267">
        <v>7609288</v>
      </c>
      <c r="D267">
        <v>112385</v>
      </c>
      <c r="E267">
        <v>5345587</v>
      </c>
    </row>
    <row r="268" spans="1:5" x14ac:dyDescent="0.3">
      <c r="A268" t="s">
        <v>46</v>
      </c>
      <c r="B268" t="s">
        <v>8</v>
      </c>
      <c r="C268">
        <v>6497758</v>
      </c>
      <c r="D268">
        <v>76504</v>
      </c>
      <c r="E268">
        <v>5422006</v>
      </c>
    </row>
    <row r="269" spans="1:5" x14ac:dyDescent="0.3">
      <c r="A269" t="s">
        <v>46</v>
      </c>
      <c r="B269" t="s">
        <v>9</v>
      </c>
      <c r="C269">
        <v>6804946</v>
      </c>
      <c r="D269">
        <v>197253</v>
      </c>
      <c r="E269">
        <v>5324401</v>
      </c>
    </row>
    <row r="270" spans="1:5" x14ac:dyDescent="0.3">
      <c r="A270" t="s">
        <v>46</v>
      </c>
      <c r="B270" t="s">
        <v>10</v>
      </c>
      <c r="C270">
        <v>8654693</v>
      </c>
      <c r="D270">
        <v>114717</v>
      </c>
      <c r="E270">
        <v>7031082</v>
      </c>
    </row>
    <row r="271" spans="1:5" x14ac:dyDescent="0.3">
      <c r="A271" t="s">
        <v>46</v>
      </c>
      <c r="B271" t="s">
        <v>11</v>
      </c>
      <c r="C271">
        <v>16428635</v>
      </c>
      <c r="D271">
        <v>356164</v>
      </c>
      <c r="E271">
        <v>13577743</v>
      </c>
    </row>
    <row r="272" spans="1:5" x14ac:dyDescent="0.3">
      <c r="A272" t="s">
        <v>46</v>
      </c>
      <c r="B272" t="s">
        <v>12</v>
      </c>
      <c r="C272">
        <v>14515948</v>
      </c>
      <c r="D272">
        <v>375696</v>
      </c>
      <c r="E272">
        <v>12381780</v>
      </c>
    </row>
    <row r="273" spans="1:5" x14ac:dyDescent="0.3">
      <c r="A273" t="s">
        <v>46</v>
      </c>
      <c r="B273" t="s">
        <v>13</v>
      </c>
      <c r="C273">
        <v>17479823</v>
      </c>
      <c r="D273">
        <v>206035</v>
      </c>
      <c r="E273">
        <v>13858245</v>
      </c>
    </row>
    <row r="274" spans="1:5" x14ac:dyDescent="0.3">
      <c r="A274" t="s">
        <v>47</v>
      </c>
      <c r="B274" t="s">
        <v>6</v>
      </c>
      <c r="C274">
        <v>16831809</v>
      </c>
      <c r="D274">
        <v>267141</v>
      </c>
      <c r="E274">
        <v>13910833</v>
      </c>
    </row>
    <row r="275" spans="1:5" x14ac:dyDescent="0.3">
      <c r="A275" t="s">
        <v>47</v>
      </c>
      <c r="B275" t="s">
        <v>7</v>
      </c>
      <c r="C275">
        <v>7628849</v>
      </c>
      <c r="D275">
        <v>125358</v>
      </c>
      <c r="E275">
        <v>6210168</v>
      </c>
    </row>
    <row r="276" spans="1:5" x14ac:dyDescent="0.3">
      <c r="A276" t="s">
        <v>47</v>
      </c>
      <c r="B276" t="s">
        <v>8</v>
      </c>
      <c r="C276">
        <v>6506093</v>
      </c>
      <c r="D276">
        <v>88679</v>
      </c>
      <c r="E276">
        <v>5226285</v>
      </c>
    </row>
    <row r="277" spans="1:5" x14ac:dyDescent="0.3">
      <c r="A277" t="s">
        <v>47</v>
      </c>
      <c r="B277" t="s">
        <v>9</v>
      </c>
      <c r="C277">
        <v>6854035</v>
      </c>
      <c r="D277">
        <v>155778</v>
      </c>
      <c r="E277">
        <v>5299743</v>
      </c>
    </row>
    <row r="278" spans="1:5" x14ac:dyDescent="0.3">
      <c r="A278" t="s">
        <v>47</v>
      </c>
      <c r="B278" t="s">
        <v>10</v>
      </c>
      <c r="C278">
        <v>8698593</v>
      </c>
      <c r="D278">
        <v>115815</v>
      </c>
      <c r="E278">
        <v>7768790</v>
      </c>
    </row>
    <row r="279" spans="1:5" x14ac:dyDescent="0.3">
      <c r="A279" t="s">
        <v>47</v>
      </c>
      <c r="B279" t="s">
        <v>11</v>
      </c>
      <c r="C279">
        <v>16432035</v>
      </c>
      <c r="D279">
        <v>197664</v>
      </c>
      <c r="E279">
        <v>14708793</v>
      </c>
    </row>
    <row r="280" spans="1:5" x14ac:dyDescent="0.3">
      <c r="A280" t="s">
        <v>47</v>
      </c>
      <c r="B280" t="s">
        <v>12</v>
      </c>
      <c r="C280">
        <v>14554767</v>
      </c>
      <c r="D280">
        <v>245714</v>
      </c>
      <c r="E280">
        <v>12264822</v>
      </c>
    </row>
    <row r="281" spans="1:5" x14ac:dyDescent="0.3">
      <c r="A281" t="s">
        <v>47</v>
      </c>
      <c r="B281" t="s">
        <v>13</v>
      </c>
      <c r="C281">
        <v>17497771</v>
      </c>
      <c r="D281">
        <v>221107</v>
      </c>
      <c r="E281">
        <v>15309597</v>
      </c>
    </row>
    <row r="282" spans="1:5" x14ac:dyDescent="0.3">
      <c r="A282" t="s">
        <v>48</v>
      </c>
      <c r="B282" t="s">
        <v>6</v>
      </c>
      <c r="C282">
        <v>16844368</v>
      </c>
      <c r="D282">
        <v>420321</v>
      </c>
      <c r="E282">
        <v>12888708</v>
      </c>
    </row>
    <row r="283" spans="1:5" x14ac:dyDescent="0.3">
      <c r="A283" t="s">
        <v>48</v>
      </c>
      <c r="B283" t="s">
        <v>7</v>
      </c>
      <c r="C283">
        <v>7654039</v>
      </c>
      <c r="D283">
        <v>94432</v>
      </c>
      <c r="E283">
        <v>5944128</v>
      </c>
    </row>
    <row r="284" spans="1:5" x14ac:dyDescent="0.3">
      <c r="A284" t="s">
        <v>48</v>
      </c>
      <c r="B284" t="s">
        <v>8</v>
      </c>
      <c r="C284">
        <v>6543780</v>
      </c>
      <c r="D284">
        <v>103649</v>
      </c>
      <c r="E284">
        <v>5435268</v>
      </c>
    </row>
    <row r="285" spans="1:5" x14ac:dyDescent="0.3">
      <c r="A285" t="s">
        <v>48</v>
      </c>
      <c r="B285" t="s">
        <v>9</v>
      </c>
      <c r="C285">
        <v>6860079</v>
      </c>
      <c r="D285">
        <v>182632</v>
      </c>
      <c r="E285">
        <v>5625595</v>
      </c>
    </row>
    <row r="286" spans="1:5" x14ac:dyDescent="0.3">
      <c r="A286" t="s">
        <v>48</v>
      </c>
      <c r="B286" t="s">
        <v>10</v>
      </c>
      <c r="C286">
        <v>8704710</v>
      </c>
      <c r="D286">
        <v>228129</v>
      </c>
      <c r="E286">
        <v>7365838</v>
      </c>
    </row>
    <row r="287" spans="1:5" x14ac:dyDescent="0.3">
      <c r="A287" t="s">
        <v>48</v>
      </c>
      <c r="B287" t="s">
        <v>11</v>
      </c>
      <c r="C287">
        <v>16461554</v>
      </c>
      <c r="D287">
        <v>354057</v>
      </c>
      <c r="E287">
        <v>14743446</v>
      </c>
    </row>
    <row r="288" spans="1:5" x14ac:dyDescent="0.3">
      <c r="A288" t="s">
        <v>48</v>
      </c>
      <c r="B288" t="s">
        <v>12</v>
      </c>
      <c r="C288">
        <v>14583311</v>
      </c>
      <c r="D288">
        <v>317601</v>
      </c>
      <c r="E288">
        <v>12395993</v>
      </c>
    </row>
    <row r="289" spans="1:5" x14ac:dyDescent="0.3">
      <c r="A289" t="s">
        <v>48</v>
      </c>
      <c r="B289" t="s">
        <v>13</v>
      </c>
      <c r="C289">
        <v>17501937</v>
      </c>
      <c r="D289">
        <v>271146</v>
      </c>
      <c r="E289">
        <v>13289998</v>
      </c>
    </row>
    <row r="290" spans="1:5" x14ac:dyDescent="0.3">
      <c r="A290" t="s">
        <v>49</v>
      </c>
      <c r="B290" t="s">
        <v>6</v>
      </c>
      <c r="C290">
        <v>16871734</v>
      </c>
      <c r="D290">
        <v>446167</v>
      </c>
      <c r="E290">
        <v>13498513</v>
      </c>
    </row>
    <row r="291" spans="1:5" x14ac:dyDescent="0.3">
      <c r="A291" t="s">
        <v>49</v>
      </c>
      <c r="B291" t="s">
        <v>7</v>
      </c>
      <c r="C291">
        <v>7684455</v>
      </c>
      <c r="D291">
        <v>181404</v>
      </c>
      <c r="E291">
        <v>5799503</v>
      </c>
    </row>
    <row r="292" spans="1:5" x14ac:dyDescent="0.3">
      <c r="A292" t="s">
        <v>49</v>
      </c>
      <c r="B292" t="s">
        <v>8</v>
      </c>
      <c r="C292">
        <v>6580989</v>
      </c>
      <c r="D292">
        <v>90986</v>
      </c>
      <c r="E292">
        <v>5043560</v>
      </c>
    </row>
    <row r="293" spans="1:5" x14ac:dyDescent="0.3">
      <c r="A293" t="s">
        <v>49</v>
      </c>
      <c r="B293" t="s">
        <v>9</v>
      </c>
      <c r="C293">
        <v>6865093</v>
      </c>
      <c r="D293">
        <v>156163</v>
      </c>
      <c r="E293">
        <v>5371710</v>
      </c>
    </row>
    <row r="294" spans="1:5" x14ac:dyDescent="0.3">
      <c r="A294" t="s">
        <v>49</v>
      </c>
      <c r="B294" t="s">
        <v>10</v>
      </c>
      <c r="C294">
        <v>8754294</v>
      </c>
      <c r="D294">
        <v>130293</v>
      </c>
      <c r="E294">
        <v>7120561</v>
      </c>
    </row>
    <row r="295" spans="1:5" x14ac:dyDescent="0.3">
      <c r="A295" t="s">
        <v>49</v>
      </c>
      <c r="B295" t="s">
        <v>11</v>
      </c>
      <c r="C295">
        <v>16482881</v>
      </c>
      <c r="D295">
        <v>190550</v>
      </c>
      <c r="E295">
        <v>12698142</v>
      </c>
    </row>
    <row r="296" spans="1:5" x14ac:dyDescent="0.3">
      <c r="A296" t="s">
        <v>49</v>
      </c>
      <c r="B296" t="s">
        <v>12</v>
      </c>
      <c r="C296">
        <v>14628892</v>
      </c>
      <c r="D296">
        <v>419139</v>
      </c>
      <c r="E296">
        <v>10415382</v>
      </c>
    </row>
    <row r="297" spans="1:5" x14ac:dyDescent="0.3">
      <c r="A297" t="s">
        <v>49</v>
      </c>
      <c r="B297" t="s">
        <v>13</v>
      </c>
      <c r="C297">
        <v>17512771</v>
      </c>
      <c r="D297">
        <v>382228</v>
      </c>
      <c r="E297">
        <v>13970914</v>
      </c>
    </row>
    <row r="298" spans="1:5" x14ac:dyDescent="0.3">
      <c r="A298" t="s">
        <v>50</v>
      </c>
      <c r="B298" t="s">
        <v>6</v>
      </c>
      <c r="C298">
        <v>16893024</v>
      </c>
      <c r="D298">
        <v>421311</v>
      </c>
      <c r="E298">
        <v>13376197</v>
      </c>
    </row>
    <row r="299" spans="1:5" x14ac:dyDescent="0.3">
      <c r="A299" t="s">
        <v>50</v>
      </c>
      <c r="B299" t="s">
        <v>7</v>
      </c>
      <c r="C299">
        <v>7708394</v>
      </c>
      <c r="D299">
        <v>77518</v>
      </c>
      <c r="E299">
        <v>6863270</v>
      </c>
    </row>
    <row r="300" spans="1:5" x14ac:dyDescent="0.3">
      <c r="A300" t="s">
        <v>50</v>
      </c>
      <c r="B300" t="s">
        <v>8</v>
      </c>
      <c r="C300">
        <v>6586950</v>
      </c>
      <c r="D300">
        <v>151922</v>
      </c>
      <c r="E300">
        <v>4791084</v>
      </c>
    </row>
    <row r="301" spans="1:5" x14ac:dyDescent="0.3">
      <c r="A301" t="s">
        <v>50</v>
      </c>
      <c r="B301" t="s">
        <v>9</v>
      </c>
      <c r="C301">
        <v>6884448</v>
      </c>
      <c r="D301">
        <v>103507</v>
      </c>
      <c r="E301">
        <v>5924156</v>
      </c>
    </row>
    <row r="302" spans="1:5" x14ac:dyDescent="0.3">
      <c r="A302" t="s">
        <v>50</v>
      </c>
      <c r="B302" t="s">
        <v>10</v>
      </c>
      <c r="C302">
        <v>8776396</v>
      </c>
      <c r="D302">
        <v>91532</v>
      </c>
      <c r="E302">
        <v>6737429</v>
      </c>
    </row>
    <row r="303" spans="1:5" x14ac:dyDescent="0.3">
      <c r="A303" t="s">
        <v>50</v>
      </c>
      <c r="B303" t="s">
        <v>11</v>
      </c>
      <c r="C303">
        <v>16506447</v>
      </c>
      <c r="D303">
        <v>201135</v>
      </c>
      <c r="E303">
        <v>13647065</v>
      </c>
    </row>
    <row r="304" spans="1:5" x14ac:dyDescent="0.3">
      <c r="A304" t="s">
        <v>50</v>
      </c>
      <c r="B304" t="s">
        <v>12</v>
      </c>
      <c r="C304">
        <v>14669133</v>
      </c>
      <c r="D304">
        <v>160360</v>
      </c>
      <c r="E304">
        <v>12397203</v>
      </c>
    </row>
    <row r="305" spans="1:5" x14ac:dyDescent="0.3">
      <c r="A305" t="s">
        <v>50</v>
      </c>
      <c r="B305" t="s">
        <v>13</v>
      </c>
      <c r="C305">
        <v>17536128</v>
      </c>
      <c r="D305">
        <v>250854</v>
      </c>
      <c r="E305">
        <v>13223063</v>
      </c>
    </row>
    <row r="306" spans="1:5" x14ac:dyDescent="0.3">
      <c r="A306" t="s">
        <v>51</v>
      </c>
      <c r="B306" t="s">
        <v>6</v>
      </c>
      <c r="C306">
        <v>16898122</v>
      </c>
      <c r="D306">
        <v>367613</v>
      </c>
      <c r="E306">
        <v>13717480</v>
      </c>
    </row>
    <row r="307" spans="1:5" x14ac:dyDescent="0.3">
      <c r="A307" t="s">
        <v>51</v>
      </c>
      <c r="B307" t="s">
        <v>7</v>
      </c>
      <c r="C307">
        <v>7745911</v>
      </c>
      <c r="D307">
        <v>207131</v>
      </c>
      <c r="E307">
        <v>6584546</v>
      </c>
    </row>
    <row r="308" spans="1:5" x14ac:dyDescent="0.3">
      <c r="A308" t="s">
        <v>51</v>
      </c>
      <c r="B308" t="s">
        <v>8</v>
      </c>
      <c r="C308">
        <v>6593172</v>
      </c>
      <c r="D308">
        <v>158227</v>
      </c>
      <c r="E308">
        <v>5145935</v>
      </c>
    </row>
    <row r="309" spans="1:5" x14ac:dyDescent="0.3">
      <c r="A309" t="s">
        <v>51</v>
      </c>
      <c r="B309" t="s">
        <v>9</v>
      </c>
      <c r="C309">
        <v>6900813</v>
      </c>
      <c r="D309">
        <v>170347</v>
      </c>
      <c r="E309">
        <v>4946422</v>
      </c>
    </row>
    <row r="310" spans="1:5" x14ac:dyDescent="0.3">
      <c r="A310" t="s">
        <v>51</v>
      </c>
      <c r="B310" t="s">
        <v>10</v>
      </c>
      <c r="C310">
        <v>8791900</v>
      </c>
      <c r="D310">
        <v>179618</v>
      </c>
      <c r="E310">
        <v>6941114</v>
      </c>
    </row>
    <row r="311" spans="1:5" x14ac:dyDescent="0.3">
      <c r="A311" t="s">
        <v>51</v>
      </c>
      <c r="B311" t="s">
        <v>11</v>
      </c>
      <c r="C311">
        <v>16530178</v>
      </c>
      <c r="D311">
        <v>256899</v>
      </c>
      <c r="E311">
        <v>13709790</v>
      </c>
    </row>
    <row r="312" spans="1:5" x14ac:dyDescent="0.3">
      <c r="A312" t="s">
        <v>51</v>
      </c>
      <c r="B312" t="s">
        <v>12</v>
      </c>
      <c r="C312">
        <v>14714769</v>
      </c>
      <c r="D312">
        <v>364399</v>
      </c>
      <c r="E312">
        <v>11498256</v>
      </c>
    </row>
    <row r="313" spans="1:5" x14ac:dyDescent="0.3">
      <c r="A313" t="s">
        <v>51</v>
      </c>
      <c r="B313" t="s">
        <v>13</v>
      </c>
      <c r="C313">
        <v>17559537</v>
      </c>
      <c r="D313">
        <v>357645</v>
      </c>
      <c r="E313">
        <v>13596022</v>
      </c>
    </row>
    <row r="314" spans="1:5" x14ac:dyDescent="0.3">
      <c r="A314" t="s">
        <v>52</v>
      </c>
      <c r="B314" t="s">
        <v>6</v>
      </c>
      <c r="C314">
        <v>16947500</v>
      </c>
      <c r="D314">
        <v>447279</v>
      </c>
      <c r="E314">
        <v>11975961</v>
      </c>
    </row>
    <row r="315" spans="1:5" x14ac:dyDescent="0.3">
      <c r="A315" t="s">
        <v>52</v>
      </c>
      <c r="B315" t="s">
        <v>7</v>
      </c>
      <c r="C315">
        <v>7782567</v>
      </c>
      <c r="D315">
        <v>188849</v>
      </c>
      <c r="E315">
        <v>5770357</v>
      </c>
    </row>
    <row r="316" spans="1:5" x14ac:dyDescent="0.3">
      <c r="A316" t="s">
        <v>52</v>
      </c>
      <c r="B316" t="s">
        <v>8</v>
      </c>
      <c r="C316">
        <v>6634713</v>
      </c>
      <c r="D316">
        <v>120207</v>
      </c>
      <c r="E316">
        <v>5042592</v>
      </c>
    </row>
    <row r="317" spans="1:5" x14ac:dyDescent="0.3">
      <c r="A317" t="s">
        <v>52</v>
      </c>
      <c r="B317" t="s">
        <v>9</v>
      </c>
      <c r="C317">
        <v>6938738</v>
      </c>
      <c r="D317">
        <v>182960</v>
      </c>
      <c r="E317">
        <v>5771144</v>
      </c>
    </row>
    <row r="318" spans="1:5" x14ac:dyDescent="0.3">
      <c r="A318" t="s">
        <v>52</v>
      </c>
      <c r="B318" t="s">
        <v>10</v>
      </c>
      <c r="C318">
        <v>8826620</v>
      </c>
      <c r="D318">
        <v>197699</v>
      </c>
      <c r="E318">
        <v>7862014</v>
      </c>
    </row>
    <row r="319" spans="1:5" x14ac:dyDescent="0.3">
      <c r="A319" t="s">
        <v>52</v>
      </c>
      <c r="B319" t="s">
        <v>11</v>
      </c>
      <c r="C319">
        <v>16546358</v>
      </c>
      <c r="D319">
        <v>295020</v>
      </c>
      <c r="E319">
        <v>12708883</v>
      </c>
    </row>
    <row r="320" spans="1:5" x14ac:dyDescent="0.3">
      <c r="A320" t="s">
        <v>52</v>
      </c>
      <c r="B320" t="s">
        <v>12</v>
      </c>
      <c r="C320">
        <v>14731188</v>
      </c>
      <c r="D320">
        <v>364730</v>
      </c>
      <c r="E320">
        <v>12243811</v>
      </c>
    </row>
    <row r="321" spans="1:5" x14ac:dyDescent="0.3">
      <c r="A321" t="s">
        <v>52</v>
      </c>
      <c r="B321" t="s">
        <v>13</v>
      </c>
      <c r="C321">
        <v>17574057</v>
      </c>
      <c r="D321">
        <v>517045</v>
      </c>
      <c r="E321">
        <v>12924962</v>
      </c>
    </row>
    <row r="322" spans="1:5" x14ac:dyDescent="0.3">
      <c r="A322" t="s">
        <v>53</v>
      </c>
      <c r="B322" t="s">
        <v>6</v>
      </c>
      <c r="C322">
        <v>16958530</v>
      </c>
      <c r="D322">
        <v>198307</v>
      </c>
      <c r="E322">
        <v>13148237</v>
      </c>
    </row>
    <row r="323" spans="1:5" x14ac:dyDescent="0.3">
      <c r="A323" t="s">
        <v>53</v>
      </c>
      <c r="B323" t="s">
        <v>7</v>
      </c>
      <c r="C323">
        <v>7819646</v>
      </c>
      <c r="D323">
        <v>209648</v>
      </c>
      <c r="E323">
        <v>6957725</v>
      </c>
    </row>
    <row r="324" spans="1:5" x14ac:dyDescent="0.3">
      <c r="A324" t="s">
        <v>53</v>
      </c>
      <c r="B324" t="s">
        <v>8</v>
      </c>
      <c r="C324">
        <v>6680982</v>
      </c>
      <c r="D324">
        <v>103733</v>
      </c>
      <c r="E324">
        <v>4904991</v>
      </c>
    </row>
    <row r="325" spans="1:5" x14ac:dyDescent="0.3">
      <c r="A325" t="s">
        <v>53</v>
      </c>
      <c r="B325" t="s">
        <v>9</v>
      </c>
      <c r="C325">
        <v>6962310</v>
      </c>
      <c r="D325">
        <v>93599</v>
      </c>
      <c r="E325">
        <v>6080256</v>
      </c>
    </row>
    <row r="326" spans="1:5" x14ac:dyDescent="0.3">
      <c r="A326" t="s">
        <v>53</v>
      </c>
      <c r="B326" t="s">
        <v>10</v>
      </c>
      <c r="C326">
        <v>8835177</v>
      </c>
      <c r="D326">
        <v>108525</v>
      </c>
      <c r="E326">
        <v>6892737</v>
      </c>
    </row>
    <row r="327" spans="1:5" x14ac:dyDescent="0.3">
      <c r="A327" t="s">
        <v>53</v>
      </c>
      <c r="B327" t="s">
        <v>11</v>
      </c>
      <c r="C327">
        <v>16577854</v>
      </c>
      <c r="D327">
        <v>421719</v>
      </c>
      <c r="E327">
        <v>11748671</v>
      </c>
    </row>
    <row r="328" spans="1:5" x14ac:dyDescent="0.3">
      <c r="A328" t="s">
        <v>53</v>
      </c>
      <c r="B328" t="s">
        <v>12</v>
      </c>
      <c r="C328">
        <v>14765728</v>
      </c>
      <c r="D328">
        <v>192565</v>
      </c>
      <c r="E328">
        <v>12668780</v>
      </c>
    </row>
    <row r="329" spans="1:5" x14ac:dyDescent="0.3">
      <c r="A329" t="s">
        <v>53</v>
      </c>
      <c r="B329" t="s">
        <v>13</v>
      </c>
      <c r="C329">
        <v>17612710</v>
      </c>
      <c r="D329">
        <v>209064</v>
      </c>
      <c r="E329">
        <v>12475038</v>
      </c>
    </row>
    <row r="330" spans="1:5" x14ac:dyDescent="0.3">
      <c r="A330" t="s">
        <v>54</v>
      </c>
      <c r="B330" t="s">
        <v>6</v>
      </c>
      <c r="C330">
        <v>16969097</v>
      </c>
      <c r="D330">
        <v>332622</v>
      </c>
      <c r="E330">
        <v>13643257</v>
      </c>
    </row>
    <row r="331" spans="1:5" x14ac:dyDescent="0.3">
      <c r="A331" t="s">
        <v>54</v>
      </c>
      <c r="B331" t="s">
        <v>7</v>
      </c>
      <c r="C331">
        <v>7851671</v>
      </c>
      <c r="D331">
        <v>132232</v>
      </c>
      <c r="E331">
        <v>6306311</v>
      </c>
    </row>
    <row r="332" spans="1:5" x14ac:dyDescent="0.3">
      <c r="A332" t="s">
        <v>54</v>
      </c>
      <c r="B332" t="s">
        <v>8</v>
      </c>
      <c r="C332">
        <v>6685363</v>
      </c>
      <c r="D332">
        <v>190185</v>
      </c>
      <c r="E332">
        <v>5933595</v>
      </c>
    </row>
    <row r="333" spans="1:5" x14ac:dyDescent="0.3">
      <c r="A333" t="s">
        <v>54</v>
      </c>
      <c r="B333" t="s">
        <v>9</v>
      </c>
      <c r="C333">
        <v>6965344</v>
      </c>
      <c r="D333">
        <v>179633</v>
      </c>
      <c r="E333">
        <v>5913632</v>
      </c>
    </row>
    <row r="334" spans="1:5" x14ac:dyDescent="0.3">
      <c r="A334" t="s">
        <v>54</v>
      </c>
      <c r="B334" t="s">
        <v>10</v>
      </c>
      <c r="C334">
        <v>8872771</v>
      </c>
      <c r="D334">
        <v>132684</v>
      </c>
      <c r="E334">
        <v>7712528</v>
      </c>
    </row>
    <row r="335" spans="1:5" x14ac:dyDescent="0.3">
      <c r="A335" t="s">
        <v>54</v>
      </c>
      <c r="B335" t="s">
        <v>11</v>
      </c>
      <c r="C335">
        <v>16614748</v>
      </c>
      <c r="D335">
        <v>363805</v>
      </c>
      <c r="E335">
        <v>14292308</v>
      </c>
    </row>
    <row r="336" spans="1:5" x14ac:dyDescent="0.3">
      <c r="A336" t="s">
        <v>54</v>
      </c>
      <c r="B336" t="s">
        <v>12</v>
      </c>
      <c r="C336">
        <v>14775433</v>
      </c>
      <c r="D336">
        <v>298137</v>
      </c>
      <c r="E336">
        <v>12403651</v>
      </c>
    </row>
    <row r="337" spans="1:5" x14ac:dyDescent="0.3">
      <c r="A337" t="s">
        <v>54</v>
      </c>
      <c r="B337" t="s">
        <v>13</v>
      </c>
      <c r="C337">
        <v>17641508</v>
      </c>
      <c r="D337">
        <v>334752</v>
      </c>
      <c r="E337">
        <v>13108364</v>
      </c>
    </row>
    <row r="338" spans="1:5" x14ac:dyDescent="0.3">
      <c r="A338" t="s">
        <v>55</v>
      </c>
      <c r="B338" t="s">
        <v>6</v>
      </c>
      <c r="C338">
        <v>16972394</v>
      </c>
      <c r="D338">
        <v>408294</v>
      </c>
      <c r="E338">
        <v>12562962</v>
      </c>
    </row>
    <row r="339" spans="1:5" x14ac:dyDescent="0.3">
      <c r="A339" t="s">
        <v>55</v>
      </c>
      <c r="B339" t="s">
        <v>7</v>
      </c>
      <c r="C339">
        <v>7881779</v>
      </c>
      <c r="D339">
        <v>142849</v>
      </c>
      <c r="E339">
        <v>6647390</v>
      </c>
    </row>
    <row r="340" spans="1:5" x14ac:dyDescent="0.3">
      <c r="A340" t="s">
        <v>55</v>
      </c>
      <c r="B340" t="s">
        <v>8</v>
      </c>
      <c r="C340">
        <v>6704196</v>
      </c>
      <c r="D340">
        <v>67242</v>
      </c>
      <c r="E340">
        <v>4790570</v>
      </c>
    </row>
    <row r="341" spans="1:5" x14ac:dyDescent="0.3">
      <c r="A341" t="s">
        <v>55</v>
      </c>
      <c r="B341" t="s">
        <v>9</v>
      </c>
      <c r="C341">
        <v>7013110</v>
      </c>
      <c r="D341">
        <v>197931</v>
      </c>
      <c r="E341">
        <v>5463357</v>
      </c>
    </row>
    <row r="342" spans="1:5" x14ac:dyDescent="0.3">
      <c r="A342" t="s">
        <v>55</v>
      </c>
      <c r="B342" t="s">
        <v>10</v>
      </c>
      <c r="C342">
        <v>8885331</v>
      </c>
      <c r="D342">
        <v>130251</v>
      </c>
      <c r="E342">
        <v>6594405</v>
      </c>
    </row>
    <row r="343" spans="1:5" x14ac:dyDescent="0.3">
      <c r="A343" t="s">
        <v>55</v>
      </c>
      <c r="B343" t="s">
        <v>11</v>
      </c>
      <c r="C343">
        <v>16651740</v>
      </c>
      <c r="D343">
        <v>263908</v>
      </c>
      <c r="E343">
        <v>13763489</v>
      </c>
    </row>
    <row r="344" spans="1:5" x14ac:dyDescent="0.3">
      <c r="A344" t="s">
        <v>55</v>
      </c>
      <c r="B344" t="s">
        <v>12</v>
      </c>
      <c r="C344">
        <v>14793212</v>
      </c>
      <c r="D344">
        <v>300365</v>
      </c>
      <c r="E344">
        <v>12180206</v>
      </c>
    </row>
    <row r="345" spans="1:5" x14ac:dyDescent="0.3">
      <c r="A345" t="s">
        <v>55</v>
      </c>
      <c r="B345" t="s">
        <v>13</v>
      </c>
      <c r="C345">
        <v>17652103</v>
      </c>
      <c r="D345">
        <v>201213</v>
      </c>
      <c r="E345">
        <v>15311441</v>
      </c>
    </row>
    <row r="346" spans="1:5" x14ac:dyDescent="0.3">
      <c r="A346" t="s">
        <v>56</v>
      </c>
      <c r="B346" t="s">
        <v>6</v>
      </c>
      <c r="C346">
        <v>16992621</v>
      </c>
      <c r="D346">
        <v>366225</v>
      </c>
      <c r="E346">
        <v>14009586</v>
      </c>
    </row>
    <row r="347" spans="1:5" x14ac:dyDescent="0.3">
      <c r="A347" t="s">
        <v>56</v>
      </c>
      <c r="B347" t="s">
        <v>7</v>
      </c>
      <c r="C347">
        <v>7931629</v>
      </c>
      <c r="D347">
        <v>213126</v>
      </c>
      <c r="E347">
        <v>5934780</v>
      </c>
    </row>
    <row r="348" spans="1:5" x14ac:dyDescent="0.3">
      <c r="A348" t="s">
        <v>56</v>
      </c>
      <c r="B348" t="s">
        <v>8</v>
      </c>
      <c r="C348">
        <v>6725881</v>
      </c>
      <c r="D348">
        <v>84262</v>
      </c>
      <c r="E348">
        <v>5471084</v>
      </c>
    </row>
    <row r="349" spans="1:5" x14ac:dyDescent="0.3">
      <c r="A349" t="s">
        <v>56</v>
      </c>
      <c r="B349" t="s">
        <v>9</v>
      </c>
      <c r="C349">
        <v>7019347</v>
      </c>
      <c r="D349">
        <v>206067</v>
      </c>
      <c r="E349">
        <v>5983022</v>
      </c>
    </row>
    <row r="350" spans="1:5" x14ac:dyDescent="0.3">
      <c r="A350" t="s">
        <v>56</v>
      </c>
      <c r="B350" t="s">
        <v>10</v>
      </c>
      <c r="C350">
        <v>8914813</v>
      </c>
      <c r="D350">
        <v>221891</v>
      </c>
      <c r="E350">
        <v>7000474</v>
      </c>
    </row>
    <row r="351" spans="1:5" x14ac:dyDescent="0.3">
      <c r="A351" t="s">
        <v>56</v>
      </c>
      <c r="B351" t="s">
        <v>11</v>
      </c>
      <c r="C351">
        <v>16663203</v>
      </c>
      <c r="D351">
        <v>498956</v>
      </c>
      <c r="E351">
        <v>12267899</v>
      </c>
    </row>
    <row r="352" spans="1:5" x14ac:dyDescent="0.3">
      <c r="A352" t="s">
        <v>56</v>
      </c>
      <c r="B352" t="s">
        <v>12</v>
      </c>
      <c r="C352">
        <v>14816765</v>
      </c>
      <c r="D352">
        <v>233322</v>
      </c>
      <c r="E352">
        <v>11142561</v>
      </c>
    </row>
    <row r="353" spans="1:5" x14ac:dyDescent="0.3">
      <c r="A353" t="s">
        <v>56</v>
      </c>
      <c r="B353" t="s">
        <v>13</v>
      </c>
      <c r="C353">
        <v>17672182</v>
      </c>
      <c r="D353">
        <v>303430</v>
      </c>
      <c r="E353">
        <v>14633458</v>
      </c>
    </row>
    <row r="354" spans="1:5" x14ac:dyDescent="0.3">
      <c r="A354" t="s">
        <v>57</v>
      </c>
      <c r="B354" t="s">
        <v>6</v>
      </c>
      <c r="C354">
        <v>17005220</v>
      </c>
      <c r="D354">
        <v>220227</v>
      </c>
      <c r="E354">
        <v>13152868</v>
      </c>
    </row>
    <row r="355" spans="1:5" x14ac:dyDescent="0.3">
      <c r="A355" t="s">
        <v>57</v>
      </c>
      <c r="B355" t="s">
        <v>7</v>
      </c>
      <c r="C355">
        <v>7952019</v>
      </c>
      <c r="D355">
        <v>238495</v>
      </c>
      <c r="E355">
        <v>7148297</v>
      </c>
    </row>
    <row r="356" spans="1:5" x14ac:dyDescent="0.3">
      <c r="A356" t="s">
        <v>57</v>
      </c>
      <c r="B356" t="s">
        <v>8</v>
      </c>
      <c r="C356">
        <v>6740038</v>
      </c>
      <c r="D356">
        <v>67937</v>
      </c>
      <c r="E356">
        <v>6014073</v>
      </c>
    </row>
    <row r="357" spans="1:5" x14ac:dyDescent="0.3">
      <c r="A357" t="s">
        <v>57</v>
      </c>
      <c r="B357" t="s">
        <v>9</v>
      </c>
      <c r="C357">
        <v>7025203</v>
      </c>
      <c r="D357">
        <v>122294</v>
      </c>
      <c r="E357">
        <v>5666565</v>
      </c>
    </row>
    <row r="358" spans="1:5" x14ac:dyDescent="0.3">
      <c r="A358" t="s">
        <v>57</v>
      </c>
      <c r="B358" t="s">
        <v>10</v>
      </c>
      <c r="C358">
        <v>8951284</v>
      </c>
      <c r="D358">
        <v>127640</v>
      </c>
      <c r="E358">
        <v>7370107</v>
      </c>
    </row>
    <row r="359" spans="1:5" x14ac:dyDescent="0.3">
      <c r="A359" t="s">
        <v>57</v>
      </c>
      <c r="B359" t="s">
        <v>11</v>
      </c>
      <c r="C359">
        <v>16677760</v>
      </c>
      <c r="D359">
        <v>279329</v>
      </c>
      <c r="E359">
        <v>13286648</v>
      </c>
    </row>
    <row r="360" spans="1:5" x14ac:dyDescent="0.3">
      <c r="A360" t="s">
        <v>57</v>
      </c>
      <c r="B360" t="s">
        <v>12</v>
      </c>
      <c r="C360">
        <v>14828944</v>
      </c>
      <c r="D360">
        <v>351352</v>
      </c>
      <c r="E360">
        <v>10643845</v>
      </c>
    </row>
    <row r="361" spans="1:5" x14ac:dyDescent="0.3">
      <c r="A361" t="s">
        <v>57</v>
      </c>
      <c r="B361" t="s">
        <v>13</v>
      </c>
      <c r="C361">
        <v>17687213</v>
      </c>
      <c r="D361">
        <v>205095</v>
      </c>
      <c r="E361">
        <v>13072727</v>
      </c>
    </row>
    <row r="362" spans="1:5" x14ac:dyDescent="0.3">
      <c r="A362" t="s">
        <v>58</v>
      </c>
      <c r="B362" t="s">
        <v>6</v>
      </c>
      <c r="C362">
        <v>17032364</v>
      </c>
      <c r="D362">
        <v>331945</v>
      </c>
      <c r="E362">
        <v>14674244</v>
      </c>
    </row>
    <row r="363" spans="1:5" x14ac:dyDescent="0.3">
      <c r="A363" t="s">
        <v>58</v>
      </c>
      <c r="B363" t="s">
        <v>7</v>
      </c>
      <c r="C363">
        <v>7970819</v>
      </c>
      <c r="D363">
        <v>197834</v>
      </c>
      <c r="E363">
        <v>6539746</v>
      </c>
    </row>
    <row r="364" spans="1:5" x14ac:dyDescent="0.3">
      <c r="A364" t="s">
        <v>58</v>
      </c>
      <c r="B364" t="s">
        <v>8</v>
      </c>
      <c r="C364">
        <v>6758356</v>
      </c>
      <c r="D364">
        <v>153393</v>
      </c>
      <c r="E364">
        <v>6038339</v>
      </c>
    </row>
    <row r="365" spans="1:5" x14ac:dyDescent="0.3">
      <c r="A365" t="s">
        <v>58</v>
      </c>
      <c r="B365" t="s">
        <v>9</v>
      </c>
      <c r="C365">
        <v>7046338</v>
      </c>
      <c r="D365">
        <v>121094</v>
      </c>
      <c r="E365">
        <v>5861902</v>
      </c>
    </row>
    <row r="366" spans="1:5" x14ac:dyDescent="0.3">
      <c r="A366" t="s">
        <v>58</v>
      </c>
      <c r="B366" t="s">
        <v>10</v>
      </c>
      <c r="C366">
        <v>8994317</v>
      </c>
      <c r="D366">
        <v>160810</v>
      </c>
      <c r="E366">
        <v>7778209</v>
      </c>
    </row>
    <row r="367" spans="1:5" x14ac:dyDescent="0.3">
      <c r="A367" t="s">
        <v>58</v>
      </c>
      <c r="B367" t="s">
        <v>11</v>
      </c>
      <c r="C367">
        <v>16691978</v>
      </c>
      <c r="D367">
        <v>499349</v>
      </c>
      <c r="E367">
        <v>14761401</v>
      </c>
    </row>
    <row r="368" spans="1:5" x14ac:dyDescent="0.3">
      <c r="A368" t="s">
        <v>58</v>
      </c>
      <c r="B368" t="s">
        <v>12</v>
      </c>
      <c r="C368">
        <v>14854586</v>
      </c>
      <c r="D368">
        <v>407703</v>
      </c>
      <c r="E368">
        <v>10860109</v>
      </c>
    </row>
    <row r="369" spans="1:5" x14ac:dyDescent="0.3">
      <c r="A369" t="s">
        <v>58</v>
      </c>
      <c r="B369" t="s">
        <v>13</v>
      </c>
      <c r="C369">
        <v>17724352</v>
      </c>
      <c r="D369">
        <v>482981</v>
      </c>
      <c r="E369">
        <v>12958391</v>
      </c>
    </row>
    <row r="370" spans="1:5" x14ac:dyDescent="0.3">
      <c r="A370" t="s">
        <v>59</v>
      </c>
      <c r="B370" t="s">
        <v>6</v>
      </c>
      <c r="C370">
        <v>17047900</v>
      </c>
      <c r="D370">
        <v>308916</v>
      </c>
      <c r="E370">
        <v>13520374</v>
      </c>
    </row>
    <row r="371" spans="1:5" x14ac:dyDescent="0.3">
      <c r="A371" t="s">
        <v>59</v>
      </c>
      <c r="B371" t="s">
        <v>7</v>
      </c>
      <c r="C371">
        <v>8000256</v>
      </c>
      <c r="D371">
        <v>220615</v>
      </c>
      <c r="E371">
        <v>6253547</v>
      </c>
    </row>
    <row r="372" spans="1:5" x14ac:dyDescent="0.3">
      <c r="A372" t="s">
        <v>59</v>
      </c>
      <c r="B372" t="s">
        <v>8</v>
      </c>
      <c r="C372">
        <v>6776661</v>
      </c>
      <c r="D372">
        <v>199059</v>
      </c>
      <c r="E372">
        <v>5563537</v>
      </c>
    </row>
    <row r="373" spans="1:5" x14ac:dyDescent="0.3">
      <c r="A373" t="s">
        <v>59</v>
      </c>
      <c r="B373" t="s">
        <v>9</v>
      </c>
      <c r="C373">
        <v>7059469</v>
      </c>
      <c r="D373">
        <v>88438</v>
      </c>
      <c r="E373">
        <v>6299855</v>
      </c>
    </row>
    <row r="374" spans="1:5" x14ac:dyDescent="0.3">
      <c r="A374" t="s">
        <v>59</v>
      </c>
      <c r="B374" t="s">
        <v>10</v>
      </c>
      <c r="C374">
        <v>9043740</v>
      </c>
      <c r="D374">
        <v>189378</v>
      </c>
      <c r="E374">
        <v>7013752</v>
      </c>
    </row>
    <row r="375" spans="1:5" x14ac:dyDescent="0.3">
      <c r="A375" t="s">
        <v>59</v>
      </c>
      <c r="B375" t="s">
        <v>11</v>
      </c>
      <c r="C375">
        <v>16700118</v>
      </c>
      <c r="D375">
        <v>203414</v>
      </c>
      <c r="E375">
        <v>11791135</v>
      </c>
    </row>
    <row r="376" spans="1:5" x14ac:dyDescent="0.3">
      <c r="A376" t="s">
        <v>59</v>
      </c>
      <c r="B376" t="s">
        <v>12</v>
      </c>
      <c r="C376">
        <v>14900854</v>
      </c>
      <c r="D376">
        <v>275224</v>
      </c>
      <c r="E376">
        <v>12454265</v>
      </c>
    </row>
    <row r="377" spans="1:5" x14ac:dyDescent="0.3">
      <c r="A377" t="s">
        <v>59</v>
      </c>
      <c r="B377" t="s">
        <v>13</v>
      </c>
      <c r="C377">
        <v>17746390</v>
      </c>
      <c r="D377">
        <v>327865</v>
      </c>
      <c r="E377">
        <v>14202971</v>
      </c>
    </row>
    <row r="378" spans="1:5" x14ac:dyDescent="0.3">
      <c r="A378" t="s">
        <v>60</v>
      </c>
      <c r="B378" t="s">
        <v>6</v>
      </c>
      <c r="C378">
        <v>17062829</v>
      </c>
      <c r="D378">
        <v>437810</v>
      </c>
      <c r="E378">
        <v>14757492</v>
      </c>
    </row>
    <row r="379" spans="1:5" x14ac:dyDescent="0.3">
      <c r="A379" t="s">
        <v>60</v>
      </c>
      <c r="B379" t="s">
        <v>7</v>
      </c>
      <c r="C379">
        <v>8010850</v>
      </c>
      <c r="D379">
        <v>214475</v>
      </c>
      <c r="E379">
        <v>6264292</v>
      </c>
    </row>
    <row r="380" spans="1:5" x14ac:dyDescent="0.3">
      <c r="A380" t="s">
        <v>60</v>
      </c>
      <c r="B380" t="s">
        <v>8</v>
      </c>
      <c r="C380">
        <v>6812026</v>
      </c>
      <c r="D380">
        <v>140903</v>
      </c>
      <c r="E380">
        <v>5350523</v>
      </c>
    </row>
    <row r="381" spans="1:5" x14ac:dyDescent="0.3">
      <c r="A381" t="s">
        <v>60</v>
      </c>
      <c r="B381" t="s">
        <v>9</v>
      </c>
      <c r="C381">
        <v>7065304</v>
      </c>
      <c r="D381">
        <v>80233</v>
      </c>
      <c r="E381">
        <v>6123279</v>
      </c>
    </row>
    <row r="382" spans="1:5" x14ac:dyDescent="0.3">
      <c r="A382" t="s">
        <v>60</v>
      </c>
      <c r="B382" t="s">
        <v>10</v>
      </c>
      <c r="C382">
        <v>9065814</v>
      </c>
      <c r="D382">
        <v>200033</v>
      </c>
      <c r="E382">
        <v>7975043</v>
      </c>
    </row>
    <row r="383" spans="1:5" x14ac:dyDescent="0.3">
      <c r="A383" t="s">
        <v>60</v>
      </c>
      <c r="B383" t="s">
        <v>11</v>
      </c>
      <c r="C383">
        <v>16712610</v>
      </c>
      <c r="D383">
        <v>252936</v>
      </c>
      <c r="E383">
        <v>12343518</v>
      </c>
    </row>
    <row r="384" spans="1:5" x14ac:dyDescent="0.3">
      <c r="A384" t="s">
        <v>60</v>
      </c>
      <c r="B384" t="s">
        <v>12</v>
      </c>
      <c r="C384">
        <v>14933159</v>
      </c>
      <c r="D384">
        <v>443660</v>
      </c>
      <c r="E384">
        <v>11957075</v>
      </c>
    </row>
    <row r="385" spans="1:5" x14ac:dyDescent="0.3">
      <c r="A385" t="s">
        <v>60</v>
      </c>
      <c r="B385" t="s">
        <v>13</v>
      </c>
      <c r="C385">
        <v>17748098</v>
      </c>
      <c r="D385">
        <v>520785</v>
      </c>
      <c r="E385">
        <v>14864995</v>
      </c>
    </row>
    <row r="386" spans="1:5" x14ac:dyDescent="0.3">
      <c r="A386" t="s">
        <v>61</v>
      </c>
      <c r="B386" t="s">
        <v>6</v>
      </c>
      <c r="C386">
        <v>17069539</v>
      </c>
      <c r="D386">
        <v>210121</v>
      </c>
      <c r="E386">
        <v>15360340</v>
      </c>
    </row>
    <row r="387" spans="1:5" x14ac:dyDescent="0.3">
      <c r="A387" t="s">
        <v>61</v>
      </c>
      <c r="B387" t="s">
        <v>7</v>
      </c>
      <c r="C387">
        <v>8055208</v>
      </c>
      <c r="D387">
        <v>239902</v>
      </c>
      <c r="E387">
        <v>6750201</v>
      </c>
    </row>
    <row r="388" spans="1:5" x14ac:dyDescent="0.3">
      <c r="A388" t="s">
        <v>61</v>
      </c>
      <c r="B388" t="s">
        <v>8</v>
      </c>
      <c r="C388">
        <v>6840151</v>
      </c>
      <c r="D388">
        <v>73476</v>
      </c>
      <c r="E388">
        <v>5422927</v>
      </c>
    </row>
    <row r="389" spans="1:5" x14ac:dyDescent="0.3">
      <c r="A389" t="s">
        <v>61</v>
      </c>
      <c r="B389" t="s">
        <v>9</v>
      </c>
      <c r="C389">
        <v>7085117</v>
      </c>
      <c r="D389">
        <v>151066</v>
      </c>
      <c r="E389">
        <v>5530898</v>
      </c>
    </row>
    <row r="390" spans="1:5" x14ac:dyDescent="0.3">
      <c r="A390" t="s">
        <v>61</v>
      </c>
      <c r="B390" t="s">
        <v>10</v>
      </c>
      <c r="C390">
        <v>9101503</v>
      </c>
      <c r="D390">
        <v>127704</v>
      </c>
      <c r="E390">
        <v>7147881</v>
      </c>
    </row>
    <row r="391" spans="1:5" x14ac:dyDescent="0.3">
      <c r="A391" t="s">
        <v>61</v>
      </c>
      <c r="B391" t="s">
        <v>11</v>
      </c>
      <c r="C391">
        <v>16733590</v>
      </c>
      <c r="D391">
        <v>195838</v>
      </c>
      <c r="E391">
        <v>14423139</v>
      </c>
    </row>
    <row r="392" spans="1:5" x14ac:dyDescent="0.3">
      <c r="A392" t="s">
        <v>61</v>
      </c>
      <c r="B392" t="s">
        <v>12</v>
      </c>
      <c r="C392">
        <v>14958510</v>
      </c>
      <c r="D392">
        <v>261188</v>
      </c>
      <c r="E392">
        <v>11607186</v>
      </c>
    </row>
    <row r="393" spans="1:5" x14ac:dyDescent="0.3">
      <c r="A393" t="s">
        <v>61</v>
      </c>
      <c r="B393" t="s">
        <v>13</v>
      </c>
      <c r="C393">
        <v>17752191</v>
      </c>
      <c r="D393">
        <v>233734</v>
      </c>
      <c r="E393">
        <v>13416723</v>
      </c>
    </row>
    <row r="394" spans="1:5" x14ac:dyDescent="0.3">
      <c r="A394" t="s">
        <v>62</v>
      </c>
      <c r="B394" t="s">
        <v>6</v>
      </c>
      <c r="C394">
        <v>17093627</v>
      </c>
      <c r="D394">
        <v>374594</v>
      </c>
      <c r="E394">
        <v>14517787</v>
      </c>
    </row>
    <row r="395" spans="1:5" x14ac:dyDescent="0.3">
      <c r="A395" t="s">
        <v>62</v>
      </c>
      <c r="B395" t="s">
        <v>7</v>
      </c>
      <c r="C395">
        <v>8088679</v>
      </c>
      <c r="D395">
        <v>203619</v>
      </c>
      <c r="E395">
        <v>6024727</v>
      </c>
    </row>
    <row r="396" spans="1:5" x14ac:dyDescent="0.3">
      <c r="A396" t="s">
        <v>62</v>
      </c>
      <c r="B396" t="s">
        <v>8</v>
      </c>
      <c r="C396">
        <v>6854394</v>
      </c>
      <c r="D396">
        <v>136431</v>
      </c>
      <c r="E396">
        <v>4952352</v>
      </c>
    </row>
    <row r="397" spans="1:5" x14ac:dyDescent="0.3">
      <c r="A397" t="s">
        <v>62</v>
      </c>
      <c r="B397" t="s">
        <v>9</v>
      </c>
      <c r="C397">
        <v>7130720</v>
      </c>
      <c r="D397">
        <v>145689</v>
      </c>
      <c r="E397">
        <v>5483760</v>
      </c>
    </row>
    <row r="398" spans="1:5" x14ac:dyDescent="0.3">
      <c r="A398" t="s">
        <v>62</v>
      </c>
      <c r="B398" t="s">
        <v>10</v>
      </c>
      <c r="C398">
        <v>9134943</v>
      </c>
      <c r="D398">
        <v>180130</v>
      </c>
      <c r="E398">
        <v>7767409</v>
      </c>
    </row>
    <row r="399" spans="1:5" x14ac:dyDescent="0.3">
      <c r="A399" t="s">
        <v>62</v>
      </c>
      <c r="B399" t="s">
        <v>11</v>
      </c>
      <c r="C399">
        <v>16757231</v>
      </c>
      <c r="D399">
        <v>419166</v>
      </c>
      <c r="E399">
        <v>14823186</v>
      </c>
    </row>
    <row r="400" spans="1:5" x14ac:dyDescent="0.3">
      <c r="A400" t="s">
        <v>62</v>
      </c>
      <c r="B400" t="s">
        <v>12</v>
      </c>
      <c r="C400">
        <v>14963738</v>
      </c>
      <c r="D400">
        <v>318105</v>
      </c>
      <c r="E400">
        <v>13124070</v>
      </c>
    </row>
    <row r="401" spans="1:5" x14ac:dyDescent="0.3">
      <c r="A401" t="s">
        <v>62</v>
      </c>
      <c r="B401" t="s">
        <v>13</v>
      </c>
      <c r="C401">
        <v>17792674</v>
      </c>
      <c r="D401">
        <v>468145</v>
      </c>
      <c r="E401">
        <v>15189188</v>
      </c>
    </row>
    <row r="402" spans="1:5" x14ac:dyDescent="0.3">
      <c r="A402" t="s">
        <v>63</v>
      </c>
      <c r="B402" t="s">
        <v>6</v>
      </c>
      <c r="C402">
        <v>17096312</v>
      </c>
      <c r="D402">
        <v>445512</v>
      </c>
      <c r="E402">
        <v>14430676</v>
      </c>
    </row>
    <row r="403" spans="1:5" x14ac:dyDescent="0.3">
      <c r="A403" t="s">
        <v>63</v>
      </c>
      <c r="B403" t="s">
        <v>7</v>
      </c>
      <c r="C403">
        <v>8135908</v>
      </c>
      <c r="D403">
        <v>210121</v>
      </c>
      <c r="E403">
        <v>6106242</v>
      </c>
    </row>
    <row r="404" spans="1:5" x14ac:dyDescent="0.3">
      <c r="A404" t="s">
        <v>63</v>
      </c>
      <c r="B404" t="s">
        <v>8</v>
      </c>
      <c r="C404">
        <v>6878865</v>
      </c>
      <c r="D404">
        <v>91819</v>
      </c>
      <c r="E404">
        <v>5594335</v>
      </c>
    </row>
    <row r="405" spans="1:5" x14ac:dyDescent="0.3">
      <c r="A405" t="s">
        <v>63</v>
      </c>
      <c r="B405" t="s">
        <v>9</v>
      </c>
      <c r="C405">
        <v>7162463</v>
      </c>
      <c r="D405">
        <v>191708</v>
      </c>
      <c r="E405">
        <v>5435862</v>
      </c>
    </row>
    <row r="406" spans="1:5" x14ac:dyDescent="0.3">
      <c r="A406" t="s">
        <v>63</v>
      </c>
      <c r="B406" t="s">
        <v>10</v>
      </c>
      <c r="C406">
        <v>9150297</v>
      </c>
      <c r="D406">
        <v>243058</v>
      </c>
      <c r="E406">
        <v>7069784</v>
      </c>
    </row>
    <row r="407" spans="1:5" x14ac:dyDescent="0.3">
      <c r="A407" t="s">
        <v>63</v>
      </c>
      <c r="B407" t="s">
        <v>11</v>
      </c>
      <c r="C407">
        <v>16784349</v>
      </c>
      <c r="D407">
        <v>244222</v>
      </c>
      <c r="E407">
        <v>12440370</v>
      </c>
    </row>
    <row r="408" spans="1:5" x14ac:dyDescent="0.3">
      <c r="A408" t="s">
        <v>63</v>
      </c>
      <c r="B408" t="s">
        <v>12</v>
      </c>
      <c r="C408">
        <v>15003590</v>
      </c>
      <c r="D408">
        <v>330709</v>
      </c>
      <c r="E408">
        <v>12764465</v>
      </c>
    </row>
    <row r="409" spans="1:5" x14ac:dyDescent="0.3">
      <c r="A409" t="s">
        <v>63</v>
      </c>
      <c r="B409" t="s">
        <v>13</v>
      </c>
      <c r="C409">
        <v>17839532</v>
      </c>
      <c r="D409">
        <v>459953</v>
      </c>
      <c r="E409">
        <v>13270347</v>
      </c>
    </row>
    <row r="410" spans="1:5" x14ac:dyDescent="0.3">
      <c r="A410" t="s">
        <v>64</v>
      </c>
      <c r="B410" t="s">
        <v>6</v>
      </c>
      <c r="C410">
        <v>17099669</v>
      </c>
      <c r="D410">
        <v>432261</v>
      </c>
      <c r="E410">
        <v>13257274</v>
      </c>
    </row>
    <row r="411" spans="1:5" x14ac:dyDescent="0.3">
      <c r="A411" t="s">
        <v>64</v>
      </c>
      <c r="B411" t="s">
        <v>7</v>
      </c>
      <c r="C411">
        <v>8148635</v>
      </c>
      <c r="D411">
        <v>100190</v>
      </c>
      <c r="E411">
        <v>7009772</v>
      </c>
    </row>
    <row r="412" spans="1:5" x14ac:dyDescent="0.3">
      <c r="A412" t="s">
        <v>64</v>
      </c>
      <c r="B412" t="s">
        <v>8</v>
      </c>
      <c r="C412">
        <v>6914747</v>
      </c>
      <c r="D412">
        <v>109172</v>
      </c>
      <c r="E412">
        <v>5484129</v>
      </c>
    </row>
    <row r="413" spans="1:5" x14ac:dyDescent="0.3">
      <c r="A413" t="s">
        <v>64</v>
      </c>
      <c r="B413" t="s">
        <v>9</v>
      </c>
      <c r="C413">
        <v>7192536</v>
      </c>
      <c r="D413">
        <v>72637</v>
      </c>
      <c r="E413">
        <v>6426663</v>
      </c>
    </row>
    <row r="414" spans="1:5" x14ac:dyDescent="0.3">
      <c r="A414" t="s">
        <v>64</v>
      </c>
      <c r="B414" t="s">
        <v>10</v>
      </c>
      <c r="C414">
        <v>9169871</v>
      </c>
      <c r="D414">
        <v>232981</v>
      </c>
      <c r="E414">
        <v>7092622</v>
      </c>
    </row>
    <row r="415" spans="1:5" x14ac:dyDescent="0.3">
      <c r="A415" t="s">
        <v>64</v>
      </c>
      <c r="B415" t="s">
        <v>11</v>
      </c>
      <c r="C415">
        <v>16820752</v>
      </c>
      <c r="D415">
        <v>504192</v>
      </c>
      <c r="E415">
        <v>12355266</v>
      </c>
    </row>
    <row r="416" spans="1:5" x14ac:dyDescent="0.3">
      <c r="A416" t="s">
        <v>64</v>
      </c>
      <c r="B416" t="s">
        <v>12</v>
      </c>
      <c r="C416">
        <v>15004956</v>
      </c>
      <c r="D416">
        <v>317766</v>
      </c>
      <c r="E416">
        <v>11431665</v>
      </c>
    </row>
    <row r="417" spans="1:5" x14ac:dyDescent="0.3">
      <c r="A417" t="s">
        <v>64</v>
      </c>
      <c r="B417" t="s">
        <v>13</v>
      </c>
      <c r="C417">
        <v>17889318</v>
      </c>
      <c r="D417">
        <v>515207</v>
      </c>
      <c r="E417">
        <v>14930344</v>
      </c>
    </row>
    <row r="418" spans="1:5" x14ac:dyDescent="0.3">
      <c r="A418" t="s">
        <v>65</v>
      </c>
      <c r="B418" t="s">
        <v>6</v>
      </c>
      <c r="C418">
        <v>17136717</v>
      </c>
      <c r="D418">
        <v>476506</v>
      </c>
      <c r="E418">
        <v>12567035</v>
      </c>
    </row>
    <row r="419" spans="1:5" x14ac:dyDescent="0.3">
      <c r="A419" t="s">
        <v>65</v>
      </c>
      <c r="B419" t="s">
        <v>7</v>
      </c>
      <c r="C419">
        <v>8180511</v>
      </c>
      <c r="D419">
        <v>190476</v>
      </c>
      <c r="E419">
        <v>7021582</v>
      </c>
    </row>
    <row r="420" spans="1:5" x14ac:dyDescent="0.3">
      <c r="A420" t="s">
        <v>65</v>
      </c>
      <c r="B420" t="s">
        <v>8</v>
      </c>
      <c r="C420">
        <v>6926792</v>
      </c>
      <c r="D420">
        <v>71235</v>
      </c>
      <c r="E420">
        <v>6068076</v>
      </c>
    </row>
    <row r="421" spans="1:5" x14ac:dyDescent="0.3">
      <c r="A421" t="s">
        <v>65</v>
      </c>
      <c r="B421" t="s">
        <v>9</v>
      </c>
      <c r="C421">
        <v>7225593</v>
      </c>
      <c r="D421">
        <v>170906</v>
      </c>
      <c r="E421">
        <v>6044872</v>
      </c>
    </row>
    <row r="422" spans="1:5" x14ac:dyDescent="0.3">
      <c r="A422" t="s">
        <v>65</v>
      </c>
      <c r="B422" t="s">
        <v>10</v>
      </c>
      <c r="C422">
        <v>9172254</v>
      </c>
      <c r="D422">
        <v>236701</v>
      </c>
      <c r="E422">
        <v>7411501</v>
      </c>
    </row>
    <row r="423" spans="1:5" x14ac:dyDescent="0.3">
      <c r="A423" t="s">
        <v>65</v>
      </c>
      <c r="B423" t="s">
        <v>11</v>
      </c>
      <c r="C423">
        <v>16844481</v>
      </c>
      <c r="D423">
        <v>328785</v>
      </c>
      <c r="E423">
        <v>14670401</v>
      </c>
    </row>
    <row r="424" spans="1:5" x14ac:dyDescent="0.3">
      <c r="A424" t="s">
        <v>65</v>
      </c>
      <c r="B424" t="s">
        <v>12</v>
      </c>
      <c r="C424">
        <v>15018419</v>
      </c>
      <c r="D424">
        <v>423950</v>
      </c>
      <c r="E424">
        <v>11279395</v>
      </c>
    </row>
    <row r="425" spans="1:5" x14ac:dyDescent="0.3">
      <c r="A425" t="s">
        <v>65</v>
      </c>
      <c r="B425" t="s">
        <v>13</v>
      </c>
      <c r="C425">
        <v>17929002</v>
      </c>
      <c r="D425">
        <v>351369</v>
      </c>
      <c r="E425">
        <v>15386672</v>
      </c>
    </row>
    <row r="426" spans="1:5" x14ac:dyDescent="0.3">
      <c r="A426" t="s">
        <v>66</v>
      </c>
      <c r="B426" t="s">
        <v>6</v>
      </c>
      <c r="C426">
        <v>17176650</v>
      </c>
      <c r="D426">
        <v>376048</v>
      </c>
      <c r="E426">
        <v>12179472</v>
      </c>
    </row>
    <row r="427" spans="1:5" x14ac:dyDescent="0.3">
      <c r="A427" t="s">
        <v>66</v>
      </c>
      <c r="B427" t="s">
        <v>7</v>
      </c>
      <c r="C427">
        <v>8183264</v>
      </c>
      <c r="D427">
        <v>181080</v>
      </c>
      <c r="E427">
        <v>5762333</v>
      </c>
    </row>
    <row r="428" spans="1:5" x14ac:dyDescent="0.3">
      <c r="A428" t="s">
        <v>66</v>
      </c>
      <c r="B428" t="s">
        <v>8</v>
      </c>
      <c r="C428">
        <v>6943953</v>
      </c>
      <c r="D428">
        <v>180288</v>
      </c>
      <c r="E428">
        <v>5097458</v>
      </c>
    </row>
    <row r="429" spans="1:5" x14ac:dyDescent="0.3">
      <c r="A429" t="s">
        <v>66</v>
      </c>
      <c r="B429" t="s">
        <v>9</v>
      </c>
      <c r="C429">
        <v>7264735</v>
      </c>
      <c r="D429">
        <v>99375</v>
      </c>
      <c r="E429">
        <v>5247112</v>
      </c>
    </row>
    <row r="430" spans="1:5" x14ac:dyDescent="0.3">
      <c r="A430" t="s">
        <v>66</v>
      </c>
      <c r="B430" t="s">
        <v>10</v>
      </c>
      <c r="C430">
        <v>9179246</v>
      </c>
      <c r="D430">
        <v>161959</v>
      </c>
      <c r="E430">
        <v>7083716</v>
      </c>
    </row>
    <row r="431" spans="1:5" x14ac:dyDescent="0.3">
      <c r="A431" t="s">
        <v>66</v>
      </c>
      <c r="B431" t="s">
        <v>11</v>
      </c>
      <c r="C431">
        <v>16861555</v>
      </c>
      <c r="D431">
        <v>384733</v>
      </c>
      <c r="E431">
        <v>14532562</v>
      </c>
    </row>
    <row r="432" spans="1:5" x14ac:dyDescent="0.3">
      <c r="A432" t="s">
        <v>66</v>
      </c>
      <c r="B432" t="s">
        <v>12</v>
      </c>
      <c r="C432">
        <v>15060011</v>
      </c>
      <c r="D432">
        <v>417573</v>
      </c>
      <c r="E432">
        <v>12472672</v>
      </c>
    </row>
    <row r="433" spans="1:5" x14ac:dyDescent="0.3">
      <c r="A433" t="s">
        <v>66</v>
      </c>
      <c r="B433" t="s">
        <v>13</v>
      </c>
      <c r="C433">
        <v>17974002</v>
      </c>
      <c r="D433">
        <v>332103</v>
      </c>
      <c r="E433">
        <v>12854816</v>
      </c>
    </row>
    <row r="434" spans="1:5" x14ac:dyDescent="0.3">
      <c r="A434" t="s">
        <v>67</v>
      </c>
      <c r="B434" t="s">
        <v>6</v>
      </c>
      <c r="C434">
        <v>17205100</v>
      </c>
      <c r="D434">
        <v>431211</v>
      </c>
      <c r="E434">
        <v>14541433</v>
      </c>
    </row>
    <row r="435" spans="1:5" x14ac:dyDescent="0.3">
      <c r="A435" t="s">
        <v>67</v>
      </c>
      <c r="B435" t="s">
        <v>7</v>
      </c>
      <c r="C435">
        <v>8226174</v>
      </c>
      <c r="D435">
        <v>212939</v>
      </c>
      <c r="E435">
        <v>6338643</v>
      </c>
    </row>
    <row r="436" spans="1:5" x14ac:dyDescent="0.3">
      <c r="A436" t="s">
        <v>67</v>
      </c>
      <c r="B436" t="s">
        <v>8</v>
      </c>
      <c r="C436">
        <v>6962845</v>
      </c>
      <c r="D436">
        <v>158579</v>
      </c>
      <c r="E436">
        <v>5316198</v>
      </c>
    </row>
    <row r="437" spans="1:5" x14ac:dyDescent="0.3">
      <c r="A437" t="s">
        <v>67</v>
      </c>
      <c r="B437" t="s">
        <v>9</v>
      </c>
      <c r="C437">
        <v>7297860</v>
      </c>
      <c r="D437">
        <v>164153</v>
      </c>
      <c r="E437">
        <v>5544094</v>
      </c>
    </row>
    <row r="438" spans="1:5" x14ac:dyDescent="0.3">
      <c r="A438" t="s">
        <v>67</v>
      </c>
      <c r="B438" t="s">
        <v>10</v>
      </c>
      <c r="C438">
        <v>9219671</v>
      </c>
      <c r="D438">
        <v>254412</v>
      </c>
      <c r="E438">
        <v>7973647</v>
      </c>
    </row>
    <row r="439" spans="1:5" x14ac:dyDescent="0.3">
      <c r="A439" t="s">
        <v>67</v>
      </c>
      <c r="B439" t="s">
        <v>11</v>
      </c>
      <c r="C439">
        <v>16874763</v>
      </c>
      <c r="D439">
        <v>482406</v>
      </c>
      <c r="E439">
        <v>15009255</v>
      </c>
    </row>
    <row r="440" spans="1:5" x14ac:dyDescent="0.3">
      <c r="A440" t="s">
        <v>67</v>
      </c>
      <c r="B440" t="s">
        <v>12</v>
      </c>
      <c r="C440">
        <v>15098962</v>
      </c>
      <c r="D440">
        <v>346082</v>
      </c>
      <c r="E440">
        <v>10633206</v>
      </c>
    </row>
    <row r="441" spans="1:5" x14ac:dyDescent="0.3">
      <c r="A441" t="s">
        <v>67</v>
      </c>
      <c r="B441" t="s">
        <v>13</v>
      </c>
      <c r="C441">
        <v>18015063</v>
      </c>
      <c r="D441">
        <v>207165</v>
      </c>
      <c r="E441">
        <v>15992845</v>
      </c>
    </row>
    <row r="442" spans="1:5" x14ac:dyDescent="0.3">
      <c r="A442" t="s">
        <v>68</v>
      </c>
      <c r="B442" t="s">
        <v>6</v>
      </c>
      <c r="C442">
        <v>17220977</v>
      </c>
      <c r="D442">
        <v>493620</v>
      </c>
      <c r="E442">
        <v>13100819</v>
      </c>
    </row>
    <row r="443" spans="1:5" x14ac:dyDescent="0.3">
      <c r="A443" t="s">
        <v>68</v>
      </c>
      <c r="B443" t="s">
        <v>7</v>
      </c>
      <c r="C443">
        <v>8258979</v>
      </c>
      <c r="D443">
        <v>203856</v>
      </c>
      <c r="E443">
        <v>6216432</v>
      </c>
    </row>
    <row r="444" spans="1:5" x14ac:dyDescent="0.3">
      <c r="A444" t="s">
        <v>68</v>
      </c>
      <c r="B444" t="s">
        <v>8</v>
      </c>
      <c r="C444">
        <v>6992854</v>
      </c>
      <c r="D444">
        <v>121320</v>
      </c>
      <c r="E444">
        <v>5400962</v>
      </c>
    </row>
    <row r="445" spans="1:5" x14ac:dyDescent="0.3">
      <c r="A445" t="s">
        <v>68</v>
      </c>
      <c r="B445" t="s">
        <v>9</v>
      </c>
      <c r="C445">
        <v>7326975</v>
      </c>
      <c r="D445">
        <v>167966</v>
      </c>
      <c r="E445">
        <v>6539298</v>
      </c>
    </row>
    <row r="446" spans="1:5" x14ac:dyDescent="0.3">
      <c r="A446" t="s">
        <v>68</v>
      </c>
      <c r="B446" t="s">
        <v>10</v>
      </c>
      <c r="C446">
        <v>9259981</v>
      </c>
      <c r="D446">
        <v>258826</v>
      </c>
      <c r="E446">
        <v>8319539</v>
      </c>
    </row>
    <row r="447" spans="1:5" x14ac:dyDescent="0.3">
      <c r="A447" t="s">
        <v>68</v>
      </c>
      <c r="B447" t="s">
        <v>11</v>
      </c>
      <c r="C447">
        <v>16908104</v>
      </c>
      <c r="D447">
        <v>445365</v>
      </c>
      <c r="E447">
        <v>14555532</v>
      </c>
    </row>
    <row r="448" spans="1:5" x14ac:dyDescent="0.3">
      <c r="A448" t="s">
        <v>68</v>
      </c>
      <c r="B448" t="s">
        <v>12</v>
      </c>
      <c r="C448">
        <v>15138361</v>
      </c>
      <c r="D448">
        <v>426189</v>
      </c>
      <c r="E448">
        <v>13248401</v>
      </c>
    </row>
    <row r="449" spans="1:5" x14ac:dyDescent="0.3">
      <c r="A449" t="s">
        <v>68</v>
      </c>
      <c r="B449" t="s">
        <v>13</v>
      </c>
      <c r="C449">
        <v>18050809</v>
      </c>
      <c r="D449">
        <v>237216</v>
      </c>
      <c r="E449">
        <v>12927134</v>
      </c>
    </row>
    <row r="450" spans="1:5" x14ac:dyDescent="0.3">
      <c r="A450" t="s">
        <v>69</v>
      </c>
      <c r="B450" t="s">
        <v>6</v>
      </c>
      <c r="C450">
        <v>17259495</v>
      </c>
      <c r="D450">
        <v>414007</v>
      </c>
      <c r="E450">
        <v>12849322</v>
      </c>
    </row>
    <row r="451" spans="1:5" x14ac:dyDescent="0.3">
      <c r="A451" t="s">
        <v>69</v>
      </c>
      <c r="B451" t="s">
        <v>7</v>
      </c>
      <c r="C451">
        <v>8273079</v>
      </c>
      <c r="D451">
        <v>219503</v>
      </c>
      <c r="E451">
        <v>6456646</v>
      </c>
    </row>
    <row r="452" spans="1:5" x14ac:dyDescent="0.3">
      <c r="A452" t="s">
        <v>69</v>
      </c>
      <c r="B452" t="s">
        <v>8</v>
      </c>
      <c r="C452">
        <v>7023445</v>
      </c>
      <c r="D452">
        <v>109406</v>
      </c>
      <c r="E452">
        <v>6040725</v>
      </c>
    </row>
    <row r="453" spans="1:5" x14ac:dyDescent="0.3">
      <c r="A453" t="s">
        <v>69</v>
      </c>
      <c r="B453" t="s">
        <v>9</v>
      </c>
      <c r="C453">
        <v>7373898</v>
      </c>
      <c r="D453">
        <v>82272</v>
      </c>
      <c r="E453">
        <v>6182674</v>
      </c>
    </row>
    <row r="454" spans="1:5" x14ac:dyDescent="0.3">
      <c r="A454" t="s">
        <v>69</v>
      </c>
      <c r="B454" t="s">
        <v>10</v>
      </c>
      <c r="C454">
        <v>9272731</v>
      </c>
      <c r="D454">
        <v>276815</v>
      </c>
      <c r="E454">
        <v>8337402</v>
      </c>
    </row>
    <row r="455" spans="1:5" x14ac:dyDescent="0.3">
      <c r="A455" t="s">
        <v>69</v>
      </c>
      <c r="B455" t="s">
        <v>11</v>
      </c>
      <c r="C455">
        <v>16938504</v>
      </c>
      <c r="D455">
        <v>229951</v>
      </c>
      <c r="E455">
        <v>13610306</v>
      </c>
    </row>
    <row r="456" spans="1:5" x14ac:dyDescent="0.3">
      <c r="A456" t="s">
        <v>69</v>
      </c>
      <c r="B456" t="s">
        <v>12</v>
      </c>
      <c r="C456">
        <v>15152422</v>
      </c>
      <c r="D456">
        <v>256735</v>
      </c>
      <c r="E456">
        <v>12725619</v>
      </c>
    </row>
    <row r="457" spans="1:5" x14ac:dyDescent="0.3">
      <c r="A457" t="s">
        <v>69</v>
      </c>
      <c r="B457" t="s">
        <v>13</v>
      </c>
      <c r="C457">
        <v>18083426</v>
      </c>
      <c r="D457">
        <v>416226</v>
      </c>
      <c r="E457">
        <v>13675676</v>
      </c>
    </row>
    <row r="458" spans="1:5" x14ac:dyDescent="0.3">
      <c r="A458" t="s">
        <v>70</v>
      </c>
      <c r="B458" t="s">
        <v>6</v>
      </c>
      <c r="C458">
        <v>17266176</v>
      </c>
      <c r="D458">
        <v>456834</v>
      </c>
      <c r="E458">
        <v>14483995</v>
      </c>
    </row>
    <row r="459" spans="1:5" x14ac:dyDescent="0.3">
      <c r="A459" t="s">
        <v>70</v>
      </c>
      <c r="B459" t="s">
        <v>7</v>
      </c>
      <c r="C459">
        <v>8283285</v>
      </c>
      <c r="D459">
        <v>212553</v>
      </c>
      <c r="E459">
        <v>7072763</v>
      </c>
    </row>
    <row r="460" spans="1:5" x14ac:dyDescent="0.3">
      <c r="A460" t="s">
        <v>70</v>
      </c>
      <c r="B460" t="s">
        <v>8</v>
      </c>
      <c r="C460">
        <v>7065236</v>
      </c>
      <c r="D460">
        <v>179922</v>
      </c>
      <c r="E460">
        <v>6243220</v>
      </c>
    </row>
    <row r="461" spans="1:5" x14ac:dyDescent="0.3">
      <c r="A461" t="s">
        <v>70</v>
      </c>
      <c r="B461" t="s">
        <v>9</v>
      </c>
      <c r="C461">
        <v>7386874</v>
      </c>
      <c r="D461">
        <v>162833</v>
      </c>
      <c r="E461">
        <v>5271553</v>
      </c>
    </row>
    <row r="462" spans="1:5" x14ac:dyDescent="0.3">
      <c r="A462" t="s">
        <v>70</v>
      </c>
      <c r="B462" t="s">
        <v>10</v>
      </c>
      <c r="C462">
        <v>9282033</v>
      </c>
      <c r="D462">
        <v>236222</v>
      </c>
      <c r="E462">
        <v>7070239</v>
      </c>
    </row>
    <row r="463" spans="1:5" x14ac:dyDescent="0.3">
      <c r="A463" t="s">
        <v>70</v>
      </c>
      <c r="B463" t="s">
        <v>11</v>
      </c>
      <c r="C463">
        <v>16951254</v>
      </c>
      <c r="D463">
        <v>211361</v>
      </c>
      <c r="E463">
        <v>14013290</v>
      </c>
    </row>
    <row r="464" spans="1:5" x14ac:dyDescent="0.3">
      <c r="A464" t="s">
        <v>70</v>
      </c>
      <c r="B464" t="s">
        <v>12</v>
      </c>
      <c r="C464">
        <v>15182420</v>
      </c>
      <c r="D464">
        <v>365872</v>
      </c>
      <c r="E464">
        <v>11786588</v>
      </c>
    </row>
    <row r="465" spans="1:5" x14ac:dyDescent="0.3">
      <c r="A465" t="s">
        <v>70</v>
      </c>
      <c r="B465" t="s">
        <v>13</v>
      </c>
      <c r="C465">
        <v>18085204</v>
      </c>
      <c r="D465">
        <v>271415</v>
      </c>
      <c r="E465">
        <v>14613698</v>
      </c>
    </row>
    <row r="466" spans="1:5" x14ac:dyDescent="0.3">
      <c r="A466" t="s">
        <v>71</v>
      </c>
      <c r="B466" t="s">
        <v>6</v>
      </c>
      <c r="C466">
        <v>17292292</v>
      </c>
      <c r="D466">
        <v>410403</v>
      </c>
      <c r="E466">
        <v>13260109</v>
      </c>
    </row>
    <row r="467" spans="1:5" x14ac:dyDescent="0.3">
      <c r="A467" t="s">
        <v>71</v>
      </c>
      <c r="B467" t="s">
        <v>7</v>
      </c>
      <c r="C467">
        <v>8298910</v>
      </c>
      <c r="D467">
        <v>111952</v>
      </c>
      <c r="E467">
        <v>6214573</v>
      </c>
    </row>
    <row r="468" spans="1:5" x14ac:dyDescent="0.3">
      <c r="A468" t="s">
        <v>71</v>
      </c>
      <c r="B468" t="s">
        <v>8</v>
      </c>
      <c r="C468">
        <v>7090420</v>
      </c>
      <c r="D468">
        <v>72617</v>
      </c>
      <c r="E468">
        <v>5965695</v>
      </c>
    </row>
    <row r="469" spans="1:5" x14ac:dyDescent="0.3">
      <c r="A469" t="s">
        <v>71</v>
      </c>
      <c r="B469" t="s">
        <v>9</v>
      </c>
      <c r="C469">
        <v>7390844</v>
      </c>
      <c r="D469">
        <v>80234</v>
      </c>
      <c r="E469">
        <v>6186766</v>
      </c>
    </row>
    <row r="470" spans="1:5" x14ac:dyDescent="0.3">
      <c r="A470" t="s">
        <v>71</v>
      </c>
      <c r="B470" t="s">
        <v>10</v>
      </c>
      <c r="C470">
        <v>9327038</v>
      </c>
      <c r="D470">
        <v>115874</v>
      </c>
      <c r="E470">
        <v>7523538</v>
      </c>
    </row>
    <row r="471" spans="1:5" x14ac:dyDescent="0.3">
      <c r="A471" t="s">
        <v>71</v>
      </c>
      <c r="B471" t="s">
        <v>11</v>
      </c>
      <c r="C471">
        <v>16971724</v>
      </c>
      <c r="D471">
        <v>273858</v>
      </c>
      <c r="E471">
        <v>11922424</v>
      </c>
    </row>
    <row r="472" spans="1:5" x14ac:dyDescent="0.3">
      <c r="A472" t="s">
        <v>71</v>
      </c>
      <c r="B472" t="s">
        <v>12</v>
      </c>
      <c r="C472">
        <v>15232385</v>
      </c>
      <c r="D472">
        <v>290450</v>
      </c>
      <c r="E472">
        <v>12387019</v>
      </c>
    </row>
    <row r="473" spans="1:5" x14ac:dyDescent="0.3">
      <c r="A473" t="s">
        <v>71</v>
      </c>
      <c r="B473" t="s">
        <v>13</v>
      </c>
      <c r="C473">
        <v>18114226</v>
      </c>
      <c r="D473">
        <v>537522</v>
      </c>
      <c r="E473">
        <v>14938431</v>
      </c>
    </row>
    <row r="474" spans="1:5" x14ac:dyDescent="0.3">
      <c r="A474" t="s">
        <v>72</v>
      </c>
      <c r="B474" t="s">
        <v>6</v>
      </c>
      <c r="C474">
        <v>17334652</v>
      </c>
      <c r="D474">
        <v>449640</v>
      </c>
      <c r="E474">
        <v>13521236</v>
      </c>
    </row>
    <row r="475" spans="1:5" x14ac:dyDescent="0.3">
      <c r="A475" t="s">
        <v>72</v>
      </c>
      <c r="B475" t="s">
        <v>7</v>
      </c>
      <c r="C475">
        <v>8329662</v>
      </c>
      <c r="D475">
        <v>240649</v>
      </c>
      <c r="E475">
        <v>7021775</v>
      </c>
    </row>
    <row r="476" spans="1:5" x14ac:dyDescent="0.3">
      <c r="A476" t="s">
        <v>72</v>
      </c>
      <c r="B476" t="s">
        <v>8</v>
      </c>
      <c r="C476">
        <v>7128443</v>
      </c>
      <c r="D476">
        <v>106021</v>
      </c>
      <c r="E476">
        <v>6213747</v>
      </c>
    </row>
    <row r="477" spans="1:5" x14ac:dyDescent="0.3">
      <c r="A477" t="s">
        <v>72</v>
      </c>
      <c r="B477" t="s">
        <v>9</v>
      </c>
      <c r="C477">
        <v>7403964</v>
      </c>
      <c r="D477">
        <v>218876</v>
      </c>
      <c r="E477">
        <v>5235559</v>
      </c>
    </row>
    <row r="478" spans="1:5" x14ac:dyDescent="0.3">
      <c r="A478" t="s">
        <v>72</v>
      </c>
      <c r="B478" t="s">
        <v>10</v>
      </c>
      <c r="C478">
        <v>9339332</v>
      </c>
      <c r="D478">
        <v>271608</v>
      </c>
      <c r="E478">
        <v>7927857</v>
      </c>
    </row>
    <row r="479" spans="1:5" x14ac:dyDescent="0.3">
      <c r="A479" t="s">
        <v>72</v>
      </c>
      <c r="B479" t="s">
        <v>11</v>
      </c>
      <c r="C479">
        <v>17015516</v>
      </c>
      <c r="D479">
        <v>461066</v>
      </c>
      <c r="E479">
        <v>15211537</v>
      </c>
    </row>
    <row r="480" spans="1:5" x14ac:dyDescent="0.3">
      <c r="A480" t="s">
        <v>72</v>
      </c>
      <c r="B480" t="s">
        <v>12</v>
      </c>
      <c r="C480">
        <v>15278699</v>
      </c>
      <c r="D480">
        <v>397105</v>
      </c>
      <c r="E480">
        <v>12606065</v>
      </c>
    </row>
    <row r="481" spans="1:5" x14ac:dyDescent="0.3">
      <c r="A481" t="s">
        <v>72</v>
      </c>
      <c r="B481" t="s">
        <v>13</v>
      </c>
      <c r="C481">
        <v>18154382</v>
      </c>
      <c r="D481">
        <v>196747</v>
      </c>
      <c r="E481">
        <v>13146136</v>
      </c>
    </row>
    <row r="482" spans="1:5" x14ac:dyDescent="0.3">
      <c r="A482" t="s">
        <v>73</v>
      </c>
      <c r="B482" t="s">
        <v>6</v>
      </c>
      <c r="C482">
        <v>17356925</v>
      </c>
      <c r="D482">
        <v>383714</v>
      </c>
      <c r="E482">
        <v>13799194</v>
      </c>
    </row>
    <row r="483" spans="1:5" x14ac:dyDescent="0.3">
      <c r="A483" t="s">
        <v>73</v>
      </c>
      <c r="B483" t="s">
        <v>7</v>
      </c>
      <c r="C483">
        <v>8371718</v>
      </c>
      <c r="D483">
        <v>140075</v>
      </c>
      <c r="E483">
        <v>7367807</v>
      </c>
    </row>
    <row r="484" spans="1:5" x14ac:dyDescent="0.3">
      <c r="A484" t="s">
        <v>73</v>
      </c>
      <c r="B484" t="s">
        <v>8</v>
      </c>
      <c r="C484">
        <v>7157522</v>
      </c>
      <c r="D484">
        <v>155062</v>
      </c>
      <c r="E484">
        <v>5263181</v>
      </c>
    </row>
    <row r="485" spans="1:5" x14ac:dyDescent="0.3">
      <c r="A485" t="s">
        <v>73</v>
      </c>
      <c r="B485" t="s">
        <v>9</v>
      </c>
      <c r="C485">
        <v>7452794</v>
      </c>
      <c r="D485">
        <v>143031</v>
      </c>
      <c r="E485">
        <v>6514955</v>
      </c>
    </row>
    <row r="486" spans="1:5" x14ac:dyDescent="0.3">
      <c r="A486" t="s">
        <v>73</v>
      </c>
      <c r="B486" t="s">
        <v>10</v>
      </c>
      <c r="C486">
        <v>9384679</v>
      </c>
      <c r="D486">
        <v>143213</v>
      </c>
      <c r="E486">
        <v>6677771</v>
      </c>
    </row>
    <row r="487" spans="1:5" x14ac:dyDescent="0.3">
      <c r="A487" t="s">
        <v>73</v>
      </c>
      <c r="B487" t="s">
        <v>11</v>
      </c>
      <c r="C487">
        <v>17049141</v>
      </c>
      <c r="D487">
        <v>387820</v>
      </c>
      <c r="E487">
        <v>14866019</v>
      </c>
    </row>
    <row r="488" spans="1:5" x14ac:dyDescent="0.3">
      <c r="A488" t="s">
        <v>73</v>
      </c>
      <c r="B488" t="s">
        <v>12</v>
      </c>
      <c r="C488">
        <v>15318616</v>
      </c>
      <c r="D488">
        <v>338545</v>
      </c>
      <c r="E488">
        <v>11031710</v>
      </c>
    </row>
    <row r="489" spans="1:5" x14ac:dyDescent="0.3">
      <c r="A489" t="s">
        <v>73</v>
      </c>
      <c r="B489" t="s">
        <v>13</v>
      </c>
      <c r="C489">
        <v>18172660</v>
      </c>
      <c r="D489">
        <v>266208</v>
      </c>
      <c r="E489">
        <v>15673906</v>
      </c>
    </row>
    <row r="490" spans="1:5" x14ac:dyDescent="0.3">
      <c r="A490" t="s">
        <v>74</v>
      </c>
      <c r="B490" t="s">
        <v>6</v>
      </c>
      <c r="C490">
        <v>17382396</v>
      </c>
      <c r="D490">
        <v>264346</v>
      </c>
      <c r="E490">
        <v>14778507</v>
      </c>
    </row>
    <row r="491" spans="1:5" x14ac:dyDescent="0.3">
      <c r="A491" t="s">
        <v>74</v>
      </c>
      <c r="B491" t="s">
        <v>7</v>
      </c>
      <c r="C491">
        <v>8372775</v>
      </c>
      <c r="D491">
        <v>117869</v>
      </c>
      <c r="E491">
        <v>6884525</v>
      </c>
    </row>
    <row r="492" spans="1:5" x14ac:dyDescent="0.3">
      <c r="A492" t="s">
        <v>74</v>
      </c>
      <c r="B492" t="s">
        <v>8</v>
      </c>
      <c r="C492">
        <v>7170296</v>
      </c>
      <c r="D492">
        <v>128159</v>
      </c>
      <c r="E492">
        <v>6198539</v>
      </c>
    </row>
    <row r="493" spans="1:5" x14ac:dyDescent="0.3">
      <c r="A493" t="s">
        <v>74</v>
      </c>
      <c r="B493" t="s">
        <v>9</v>
      </c>
      <c r="C493">
        <v>7494931</v>
      </c>
      <c r="D493">
        <v>155887</v>
      </c>
      <c r="E493">
        <v>6328783</v>
      </c>
    </row>
    <row r="494" spans="1:5" x14ac:dyDescent="0.3">
      <c r="A494" t="s">
        <v>74</v>
      </c>
      <c r="B494" t="s">
        <v>10</v>
      </c>
      <c r="C494">
        <v>9418253</v>
      </c>
      <c r="D494">
        <v>128281</v>
      </c>
      <c r="E494">
        <v>7183734</v>
      </c>
    </row>
    <row r="495" spans="1:5" x14ac:dyDescent="0.3">
      <c r="A495" t="s">
        <v>74</v>
      </c>
      <c r="B495" t="s">
        <v>11</v>
      </c>
      <c r="C495">
        <v>17054597</v>
      </c>
      <c r="D495">
        <v>424027</v>
      </c>
      <c r="E495">
        <v>12965271</v>
      </c>
    </row>
    <row r="496" spans="1:5" x14ac:dyDescent="0.3">
      <c r="A496" t="s">
        <v>74</v>
      </c>
      <c r="B496" t="s">
        <v>12</v>
      </c>
      <c r="C496">
        <v>15326414</v>
      </c>
      <c r="D496">
        <v>275300</v>
      </c>
      <c r="E496">
        <v>13142379</v>
      </c>
    </row>
    <row r="497" spans="1:5" x14ac:dyDescent="0.3">
      <c r="A497" t="s">
        <v>74</v>
      </c>
      <c r="B497" t="s">
        <v>13</v>
      </c>
      <c r="C497">
        <v>18183510</v>
      </c>
      <c r="D497">
        <v>215598</v>
      </c>
      <c r="E497">
        <v>14057397</v>
      </c>
    </row>
    <row r="498" spans="1:5" x14ac:dyDescent="0.3">
      <c r="A498" t="s">
        <v>75</v>
      </c>
      <c r="B498" t="s">
        <v>6</v>
      </c>
      <c r="C498">
        <v>17431397</v>
      </c>
      <c r="D498">
        <v>178549</v>
      </c>
      <c r="E498">
        <v>14728610</v>
      </c>
    </row>
    <row r="499" spans="1:5" x14ac:dyDescent="0.3">
      <c r="A499" t="s">
        <v>75</v>
      </c>
      <c r="B499" t="s">
        <v>7</v>
      </c>
      <c r="C499">
        <v>8376576</v>
      </c>
      <c r="D499">
        <v>249280</v>
      </c>
      <c r="E499">
        <v>6963400</v>
      </c>
    </row>
    <row r="500" spans="1:5" x14ac:dyDescent="0.3">
      <c r="A500" t="s">
        <v>75</v>
      </c>
      <c r="B500" t="s">
        <v>8</v>
      </c>
      <c r="C500">
        <v>7219860</v>
      </c>
      <c r="D500">
        <v>129009</v>
      </c>
      <c r="E500">
        <v>6469036</v>
      </c>
    </row>
    <row r="501" spans="1:5" x14ac:dyDescent="0.3">
      <c r="A501" t="s">
        <v>75</v>
      </c>
      <c r="B501" t="s">
        <v>9</v>
      </c>
      <c r="C501">
        <v>7510002</v>
      </c>
      <c r="D501">
        <v>192025</v>
      </c>
      <c r="E501">
        <v>5416224</v>
      </c>
    </row>
    <row r="502" spans="1:5" x14ac:dyDescent="0.3">
      <c r="A502" t="s">
        <v>75</v>
      </c>
      <c r="B502" t="s">
        <v>10</v>
      </c>
      <c r="C502">
        <v>9429743</v>
      </c>
      <c r="D502">
        <v>269572</v>
      </c>
      <c r="E502">
        <v>8198590</v>
      </c>
    </row>
    <row r="503" spans="1:5" x14ac:dyDescent="0.3">
      <c r="A503" t="s">
        <v>75</v>
      </c>
      <c r="B503" t="s">
        <v>11</v>
      </c>
      <c r="C503">
        <v>17080419</v>
      </c>
      <c r="D503">
        <v>303547</v>
      </c>
      <c r="E503">
        <v>12756578</v>
      </c>
    </row>
    <row r="504" spans="1:5" x14ac:dyDescent="0.3">
      <c r="A504" t="s">
        <v>75</v>
      </c>
      <c r="B504" t="s">
        <v>12</v>
      </c>
      <c r="C504">
        <v>15341340</v>
      </c>
      <c r="D504">
        <v>393384</v>
      </c>
      <c r="E504">
        <v>10821096</v>
      </c>
    </row>
    <row r="505" spans="1:5" x14ac:dyDescent="0.3">
      <c r="A505" t="s">
        <v>75</v>
      </c>
      <c r="B505" t="s">
        <v>13</v>
      </c>
      <c r="C505">
        <v>18195887</v>
      </c>
      <c r="D505">
        <v>211063</v>
      </c>
      <c r="E505">
        <v>16121886</v>
      </c>
    </row>
    <row r="506" spans="1:5" x14ac:dyDescent="0.3">
      <c r="A506" t="s">
        <v>76</v>
      </c>
      <c r="B506" t="s">
        <v>6</v>
      </c>
      <c r="C506">
        <v>17441137</v>
      </c>
      <c r="D506">
        <v>435084</v>
      </c>
      <c r="E506">
        <v>13611778</v>
      </c>
    </row>
    <row r="507" spans="1:5" x14ac:dyDescent="0.3">
      <c r="A507" t="s">
        <v>76</v>
      </c>
      <c r="B507" t="s">
        <v>7</v>
      </c>
      <c r="C507">
        <v>8425578</v>
      </c>
      <c r="D507">
        <v>197173</v>
      </c>
      <c r="E507">
        <v>7575123</v>
      </c>
    </row>
    <row r="508" spans="1:5" x14ac:dyDescent="0.3">
      <c r="A508" t="s">
        <v>76</v>
      </c>
      <c r="B508" t="s">
        <v>8</v>
      </c>
      <c r="C508">
        <v>7261438</v>
      </c>
      <c r="D508">
        <v>158093</v>
      </c>
      <c r="E508">
        <v>5752856</v>
      </c>
    </row>
    <row r="509" spans="1:5" x14ac:dyDescent="0.3">
      <c r="A509" t="s">
        <v>76</v>
      </c>
      <c r="B509" t="s">
        <v>9</v>
      </c>
      <c r="C509">
        <v>7551583</v>
      </c>
      <c r="D509">
        <v>186670</v>
      </c>
      <c r="E509">
        <v>6641202</v>
      </c>
    </row>
    <row r="510" spans="1:5" x14ac:dyDescent="0.3">
      <c r="A510" t="s">
        <v>76</v>
      </c>
      <c r="B510" t="s">
        <v>10</v>
      </c>
      <c r="C510">
        <v>9463194</v>
      </c>
      <c r="D510">
        <v>162546</v>
      </c>
      <c r="E510">
        <v>6654052</v>
      </c>
    </row>
    <row r="511" spans="1:5" x14ac:dyDescent="0.3">
      <c r="A511" t="s">
        <v>76</v>
      </c>
      <c r="B511" t="s">
        <v>11</v>
      </c>
      <c r="C511">
        <v>17089824</v>
      </c>
      <c r="D511">
        <v>301224</v>
      </c>
      <c r="E511">
        <v>12621322</v>
      </c>
    </row>
    <row r="512" spans="1:5" x14ac:dyDescent="0.3">
      <c r="A512" t="s">
        <v>76</v>
      </c>
      <c r="B512" t="s">
        <v>12</v>
      </c>
      <c r="C512">
        <v>15374424</v>
      </c>
      <c r="D512">
        <v>292501</v>
      </c>
      <c r="E512">
        <v>13548754</v>
      </c>
    </row>
    <row r="513" spans="1:5" x14ac:dyDescent="0.3">
      <c r="A513" t="s">
        <v>76</v>
      </c>
      <c r="B513" t="s">
        <v>13</v>
      </c>
      <c r="C513">
        <v>18223099</v>
      </c>
      <c r="D513">
        <v>328265</v>
      </c>
      <c r="E513">
        <v>14145547</v>
      </c>
    </row>
    <row r="514" spans="1:5" x14ac:dyDescent="0.3">
      <c r="A514" t="s">
        <v>77</v>
      </c>
      <c r="B514" t="s">
        <v>6</v>
      </c>
      <c r="C514">
        <v>17470111</v>
      </c>
      <c r="D514">
        <v>180985</v>
      </c>
      <c r="E514">
        <v>15051187</v>
      </c>
    </row>
    <row r="515" spans="1:5" x14ac:dyDescent="0.3">
      <c r="A515" t="s">
        <v>77</v>
      </c>
      <c r="B515" t="s">
        <v>7</v>
      </c>
      <c r="C515">
        <v>8427852</v>
      </c>
      <c r="D515">
        <v>233824</v>
      </c>
      <c r="E515">
        <v>7056688</v>
      </c>
    </row>
    <row r="516" spans="1:5" x14ac:dyDescent="0.3">
      <c r="A516" t="s">
        <v>77</v>
      </c>
      <c r="B516" t="s">
        <v>8</v>
      </c>
      <c r="C516">
        <v>7292324</v>
      </c>
      <c r="D516">
        <v>101165</v>
      </c>
      <c r="E516">
        <v>5371452</v>
      </c>
    </row>
    <row r="517" spans="1:5" x14ac:dyDescent="0.3">
      <c r="A517" t="s">
        <v>77</v>
      </c>
      <c r="B517" t="s">
        <v>9</v>
      </c>
      <c r="C517">
        <v>7572208</v>
      </c>
      <c r="D517">
        <v>118951</v>
      </c>
      <c r="E517">
        <v>5543261</v>
      </c>
    </row>
    <row r="518" spans="1:5" x14ac:dyDescent="0.3">
      <c r="A518" t="s">
        <v>77</v>
      </c>
      <c r="B518" t="s">
        <v>10</v>
      </c>
      <c r="C518">
        <v>9470984</v>
      </c>
      <c r="D518">
        <v>147197</v>
      </c>
      <c r="E518">
        <v>7526066</v>
      </c>
    </row>
    <row r="519" spans="1:5" x14ac:dyDescent="0.3">
      <c r="A519" t="s">
        <v>77</v>
      </c>
      <c r="B519" t="s">
        <v>11</v>
      </c>
      <c r="C519">
        <v>17093985</v>
      </c>
      <c r="D519">
        <v>273772</v>
      </c>
      <c r="E519">
        <v>14961125</v>
      </c>
    </row>
    <row r="520" spans="1:5" x14ac:dyDescent="0.3">
      <c r="A520" t="s">
        <v>77</v>
      </c>
      <c r="B520" t="s">
        <v>12</v>
      </c>
      <c r="C520">
        <v>15411442</v>
      </c>
      <c r="D520">
        <v>413372</v>
      </c>
      <c r="E520">
        <v>12059116</v>
      </c>
    </row>
    <row r="521" spans="1:5" x14ac:dyDescent="0.3">
      <c r="A521" t="s">
        <v>77</v>
      </c>
      <c r="B521" t="s">
        <v>13</v>
      </c>
      <c r="C521">
        <v>18271940</v>
      </c>
      <c r="D521">
        <v>370527</v>
      </c>
      <c r="E521">
        <v>15554703</v>
      </c>
    </row>
    <row r="522" spans="1:5" x14ac:dyDescent="0.3">
      <c r="A522" t="s">
        <v>78</v>
      </c>
      <c r="B522" t="s">
        <v>6</v>
      </c>
      <c r="C522">
        <v>17497323</v>
      </c>
      <c r="D522">
        <v>284096</v>
      </c>
      <c r="E522">
        <v>14845482</v>
      </c>
    </row>
    <row r="523" spans="1:5" x14ac:dyDescent="0.3">
      <c r="A523" t="s">
        <v>78</v>
      </c>
      <c r="B523" t="s">
        <v>7</v>
      </c>
      <c r="C523">
        <v>8429378</v>
      </c>
      <c r="D523">
        <v>238658</v>
      </c>
      <c r="E523">
        <v>6586314</v>
      </c>
    </row>
    <row r="524" spans="1:5" x14ac:dyDescent="0.3">
      <c r="A524" t="s">
        <v>78</v>
      </c>
      <c r="B524" t="s">
        <v>8</v>
      </c>
      <c r="C524">
        <v>7307772</v>
      </c>
      <c r="D524">
        <v>173521</v>
      </c>
      <c r="E524">
        <v>5679705</v>
      </c>
    </row>
    <row r="525" spans="1:5" x14ac:dyDescent="0.3">
      <c r="A525" t="s">
        <v>78</v>
      </c>
      <c r="B525" t="s">
        <v>9</v>
      </c>
      <c r="C525">
        <v>7582461</v>
      </c>
      <c r="D525">
        <v>101646</v>
      </c>
      <c r="E525">
        <v>6520423</v>
      </c>
    </row>
    <row r="526" spans="1:5" x14ac:dyDescent="0.3">
      <c r="A526" t="s">
        <v>78</v>
      </c>
      <c r="B526" t="s">
        <v>10</v>
      </c>
      <c r="C526">
        <v>9498911</v>
      </c>
      <c r="D526">
        <v>166605</v>
      </c>
      <c r="E526">
        <v>7822342</v>
      </c>
    </row>
    <row r="527" spans="1:5" x14ac:dyDescent="0.3">
      <c r="A527" t="s">
        <v>78</v>
      </c>
      <c r="B527" t="s">
        <v>11</v>
      </c>
      <c r="C527">
        <v>17122602</v>
      </c>
      <c r="D527">
        <v>474545</v>
      </c>
      <c r="E527">
        <v>12919705</v>
      </c>
    </row>
    <row r="528" spans="1:5" x14ac:dyDescent="0.3">
      <c r="A528" t="s">
        <v>78</v>
      </c>
      <c r="B528" t="s">
        <v>12</v>
      </c>
      <c r="C528">
        <v>15420139</v>
      </c>
      <c r="D528">
        <v>438465</v>
      </c>
      <c r="E528">
        <v>12081934</v>
      </c>
    </row>
    <row r="529" spans="1:5" x14ac:dyDescent="0.3">
      <c r="A529" t="s">
        <v>78</v>
      </c>
      <c r="B529" t="s">
        <v>13</v>
      </c>
      <c r="C529">
        <v>18299430</v>
      </c>
      <c r="D529">
        <v>443339</v>
      </c>
      <c r="E529">
        <v>13917052</v>
      </c>
    </row>
    <row r="530" spans="1:5" x14ac:dyDescent="0.3">
      <c r="A530" t="s">
        <v>79</v>
      </c>
      <c r="B530" t="s">
        <v>6</v>
      </c>
      <c r="C530">
        <v>17529534</v>
      </c>
      <c r="D530">
        <v>304557</v>
      </c>
      <c r="E530">
        <v>13800117</v>
      </c>
    </row>
    <row r="531" spans="1:5" x14ac:dyDescent="0.3">
      <c r="A531" t="s">
        <v>79</v>
      </c>
      <c r="B531" t="s">
        <v>7</v>
      </c>
      <c r="C531">
        <v>8472418</v>
      </c>
      <c r="D531">
        <v>228320</v>
      </c>
      <c r="E531">
        <v>6347725</v>
      </c>
    </row>
    <row r="532" spans="1:5" x14ac:dyDescent="0.3">
      <c r="A532" t="s">
        <v>79</v>
      </c>
      <c r="B532" t="s">
        <v>8</v>
      </c>
      <c r="C532">
        <v>7357233</v>
      </c>
      <c r="D532">
        <v>103361</v>
      </c>
      <c r="E532">
        <v>6442793</v>
      </c>
    </row>
    <row r="533" spans="1:5" x14ac:dyDescent="0.3">
      <c r="A533" t="s">
        <v>79</v>
      </c>
      <c r="B533" t="s">
        <v>9</v>
      </c>
      <c r="C533">
        <v>7608987</v>
      </c>
      <c r="D533">
        <v>83107</v>
      </c>
      <c r="E533">
        <v>5394971</v>
      </c>
    </row>
    <row r="534" spans="1:5" x14ac:dyDescent="0.3">
      <c r="A534" t="s">
        <v>79</v>
      </c>
      <c r="B534" t="s">
        <v>10</v>
      </c>
      <c r="C534">
        <v>9525146</v>
      </c>
      <c r="D534">
        <v>141210</v>
      </c>
      <c r="E534">
        <v>8375447</v>
      </c>
    </row>
    <row r="535" spans="1:5" x14ac:dyDescent="0.3">
      <c r="A535" t="s">
        <v>79</v>
      </c>
      <c r="B535" t="s">
        <v>11</v>
      </c>
      <c r="C535">
        <v>17136709</v>
      </c>
      <c r="D535">
        <v>392299</v>
      </c>
      <c r="E535">
        <v>13349557</v>
      </c>
    </row>
    <row r="536" spans="1:5" x14ac:dyDescent="0.3">
      <c r="A536" t="s">
        <v>79</v>
      </c>
      <c r="B536" t="s">
        <v>12</v>
      </c>
      <c r="C536">
        <v>15432049</v>
      </c>
      <c r="D536">
        <v>270866</v>
      </c>
      <c r="E536">
        <v>12030452</v>
      </c>
    </row>
    <row r="537" spans="1:5" x14ac:dyDescent="0.3">
      <c r="A537" t="s">
        <v>79</v>
      </c>
      <c r="B537" t="s">
        <v>13</v>
      </c>
      <c r="C537">
        <v>18305188</v>
      </c>
      <c r="D537">
        <v>226011</v>
      </c>
      <c r="E537">
        <v>13486694</v>
      </c>
    </row>
    <row r="538" spans="1:5" x14ac:dyDescent="0.3">
      <c r="A538" t="s">
        <v>80</v>
      </c>
      <c r="B538" t="s">
        <v>6</v>
      </c>
      <c r="C538">
        <v>17532062</v>
      </c>
      <c r="D538">
        <v>403787</v>
      </c>
      <c r="E538">
        <v>14798107</v>
      </c>
    </row>
    <row r="539" spans="1:5" x14ac:dyDescent="0.3">
      <c r="A539" t="s">
        <v>80</v>
      </c>
      <c r="B539" t="s">
        <v>7</v>
      </c>
      <c r="C539">
        <v>8504238</v>
      </c>
      <c r="D539">
        <v>186756</v>
      </c>
      <c r="E539">
        <v>6628256</v>
      </c>
    </row>
    <row r="540" spans="1:5" x14ac:dyDescent="0.3">
      <c r="A540" t="s">
        <v>80</v>
      </c>
      <c r="B540" t="s">
        <v>8</v>
      </c>
      <c r="C540">
        <v>7405955</v>
      </c>
      <c r="D540">
        <v>207266</v>
      </c>
      <c r="E540">
        <v>6159036</v>
      </c>
    </row>
    <row r="541" spans="1:5" x14ac:dyDescent="0.3">
      <c r="A541" t="s">
        <v>80</v>
      </c>
      <c r="B541" t="s">
        <v>9</v>
      </c>
      <c r="C541">
        <v>7632391</v>
      </c>
      <c r="D541">
        <v>220587</v>
      </c>
      <c r="E541">
        <v>6437754</v>
      </c>
    </row>
    <row r="542" spans="1:5" x14ac:dyDescent="0.3">
      <c r="A542" t="s">
        <v>80</v>
      </c>
      <c r="B542" t="s">
        <v>10</v>
      </c>
      <c r="C542">
        <v>9563088</v>
      </c>
      <c r="D542">
        <v>273317</v>
      </c>
      <c r="E542">
        <v>8255162</v>
      </c>
    </row>
    <row r="543" spans="1:5" x14ac:dyDescent="0.3">
      <c r="A543" t="s">
        <v>80</v>
      </c>
      <c r="B543" t="s">
        <v>11</v>
      </c>
      <c r="C543">
        <v>17152723</v>
      </c>
      <c r="D543">
        <v>181939</v>
      </c>
      <c r="E543">
        <v>13825359</v>
      </c>
    </row>
    <row r="544" spans="1:5" x14ac:dyDescent="0.3">
      <c r="A544" t="s">
        <v>80</v>
      </c>
      <c r="B544" t="s">
        <v>12</v>
      </c>
      <c r="C544">
        <v>15450862</v>
      </c>
      <c r="D544">
        <v>169282</v>
      </c>
      <c r="E544">
        <v>11364073</v>
      </c>
    </row>
    <row r="545" spans="1:5" x14ac:dyDescent="0.3">
      <c r="A545" t="s">
        <v>80</v>
      </c>
      <c r="B545" t="s">
        <v>13</v>
      </c>
      <c r="C545">
        <v>18346326</v>
      </c>
      <c r="D545">
        <v>291576</v>
      </c>
      <c r="E545">
        <v>13718753</v>
      </c>
    </row>
    <row r="546" spans="1:5" x14ac:dyDescent="0.3">
      <c r="A546" t="s">
        <v>81</v>
      </c>
      <c r="B546" t="s">
        <v>6</v>
      </c>
      <c r="C546">
        <v>17546637</v>
      </c>
      <c r="D546">
        <v>415101</v>
      </c>
      <c r="E546">
        <v>13422354</v>
      </c>
    </row>
    <row r="547" spans="1:5" x14ac:dyDescent="0.3">
      <c r="A547" t="s">
        <v>81</v>
      </c>
      <c r="B547" t="s">
        <v>7</v>
      </c>
      <c r="C547">
        <v>8516874</v>
      </c>
      <c r="D547">
        <v>244418</v>
      </c>
      <c r="E547">
        <v>7639965</v>
      </c>
    </row>
    <row r="548" spans="1:5" x14ac:dyDescent="0.3">
      <c r="A548" t="s">
        <v>81</v>
      </c>
      <c r="B548" t="s">
        <v>8</v>
      </c>
      <c r="C548">
        <v>7424477</v>
      </c>
      <c r="D548">
        <v>113472</v>
      </c>
      <c r="E548">
        <v>6063915</v>
      </c>
    </row>
    <row r="549" spans="1:5" x14ac:dyDescent="0.3">
      <c r="A549" t="s">
        <v>81</v>
      </c>
      <c r="B549" t="s">
        <v>9</v>
      </c>
      <c r="C549">
        <v>7646260</v>
      </c>
      <c r="D549">
        <v>207282</v>
      </c>
      <c r="E549">
        <v>5464355</v>
      </c>
    </row>
    <row r="550" spans="1:5" x14ac:dyDescent="0.3">
      <c r="A550" t="s">
        <v>81</v>
      </c>
      <c r="B550" t="s">
        <v>10</v>
      </c>
      <c r="C550">
        <v>9585991</v>
      </c>
      <c r="D550">
        <v>195325</v>
      </c>
      <c r="E550">
        <v>8407673</v>
      </c>
    </row>
    <row r="551" spans="1:5" x14ac:dyDescent="0.3">
      <c r="A551" t="s">
        <v>81</v>
      </c>
      <c r="B551" t="s">
        <v>11</v>
      </c>
      <c r="C551">
        <v>17177387</v>
      </c>
      <c r="D551">
        <v>465008</v>
      </c>
      <c r="E551">
        <v>14932300</v>
      </c>
    </row>
    <row r="552" spans="1:5" x14ac:dyDescent="0.3">
      <c r="A552" t="s">
        <v>81</v>
      </c>
      <c r="B552" t="s">
        <v>12</v>
      </c>
      <c r="C552">
        <v>15488418</v>
      </c>
      <c r="D552">
        <v>351101</v>
      </c>
      <c r="E552">
        <v>13014001</v>
      </c>
    </row>
    <row r="553" spans="1:5" x14ac:dyDescent="0.3">
      <c r="A553" t="s">
        <v>81</v>
      </c>
      <c r="B553" t="s">
        <v>13</v>
      </c>
      <c r="C553">
        <v>18348550</v>
      </c>
      <c r="D553">
        <v>269497</v>
      </c>
      <c r="E553">
        <v>15927297</v>
      </c>
    </row>
    <row r="554" spans="1:5" x14ac:dyDescent="0.3">
      <c r="A554" t="s">
        <v>82</v>
      </c>
      <c r="B554" t="s">
        <v>6</v>
      </c>
      <c r="C554">
        <v>17556141</v>
      </c>
      <c r="D554">
        <v>299225</v>
      </c>
      <c r="E554">
        <v>15038039</v>
      </c>
    </row>
    <row r="555" spans="1:5" x14ac:dyDescent="0.3">
      <c r="A555" t="s">
        <v>82</v>
      </c>
      <c r="B555" t="s">
        <v>7</v>
      </c>
      <c r="C555">
        <v>8555088</v>
      </c>
      <c r="D555">
        <v>155770</v>
      </c>
      <c r="E555">
        <v>7644306</v>
      </c>
    </row>
    <row r="556" spans="1:5" x14ac:dyDescent="0.3">
      <c r="A556" t="s">
        <v>82</v>
      </c>
      <c r="B556" t="s">
        <v>8</v>
      </c>
      <c r="C556">
        <v>7461701</v>
      </c>
      <c r="D556">
        <v>100997</v>
      </c>
      <c r="E556">
        <v>5960065</v>
      </c>
    </row>
    <row r="557" spans="1:5" x14ac:dyDescent="0.3">
      <c r="A557" t="s">
        <v>82</v>
      </c>
      <c r="B557" t="s">
        <v>9</v>
      </c>
      <c r="C557">
        <v>7689919</v>
      </c>
      <c r="D557">
        <v>166733</v>
      </c>
      <c r="E557">
        <v>6638059</v>
      </c>
    </row>
    <row r="558" spans="1:5" x14ac:dyDescent="0.3">
      <c r="A558" t="s">
        <v>82</v>
      </c>
      <c r="B558" t="s">
        <v>10</v>
      </c>
      <c r="C558">
        <v>9634225</v>
      </c>
      <c r="D558">
        <v>156594</v>
      </c>
      <c r="E558">
        <v>6901873</v>
      </c>
    </row>
    <row r="559" spans="1:5" x14ac:dyDescent="0.3">
      <c r="A559" t="s">
        <v>82</v>
      </c>
      <c r="B559" t="s">
        <v>11</v>
      </c>
      <c r="C559">
        <v>17181838</v>
      </c>
      <c r="D559">
        <v>269973</v>
      </c>
      <c r="E559">
        <v>13903704</v>
      </c>
    </row>
    <row r="560" spans="1:5" x14ac:dyDescent="0.3">
      <c r="A560" t="s">
        <v>82</v>
      </c>
      <c r="B560" t="s">
        <v>12</v>
      </c>
      <c r="C560">
        <v>15519423</v>
      </c>
      <c r="D560">
        <v>273916</v>
      </c>
      <c r="E560">
        <v>13344921</v>
      </c>
    </row>
    <row r="561" spans="1:5" x14ac:dyDescent="0.3">
      <c r="A561" t="s">
        <v>82</v>
      </c>
      <c r="B561" t="s">
        <v>13</v>
      </c>
      <c r="C561">
        <v>18368092</v>
      </c>
      <c r="D561">
        <v>316782</v>
      </c>
      <c r="E561">
        <v>15043181</v>
      </c>
    </row>
    <row r="562" spans="1:5" x14ac:dyDescent="0.3">
      <c r="A562" t="s">
        <v>83</v>
      </c>
      <c r="B562" t="s">
        <v>6</v>
      </c>
      <c r="C562">
        <v>17578334</v>
      </c>
      <c r="D562">
        <v>511483</v>
      </c>
      <c r="E562">
        <v>15321472</v>
      </c>
    </row>
    <row r="563" spans="1:5" x14ac:dyDescent="0.3">
      <c r="A563" t="s">
        <v>83</v>
      </c>
      <c r="B563" t="s">
        <v>7</v>
      </c>
      <c r="C563">
        <v>8573302</v>
      </c>
      <c r="D563">
        <v>92137</v>
      </c>
      <c r="E563">
        <v>6656503</v>
      </c>
    </row>
    <row r="564" spans="1:5" x14ac:dyDescent="0.3">
      <c r="A564" t="s">
        <v>83</v>
      </c>
      <c r="B564" t="s">
        <v>8</v>
      </c>
      <c r="C564">
        <v>7476445</v>
      </c>
      <c r="D564">
        <v>86858</v>
      </c>
      <c r="E564">
        <v>5412497</v>
      </c>
    </row>
    <row r="565" spans="1:5" x14ac:dyDescent="0.3">
      <c r="A565" t="s">
        <v>83</v>
      </c>
      <c r="B565" t="s">
        <v>9</v>
      </c>
      <c r="C565">
        <v>7731686</v>
      </c>
      <c r="D565">
        <v>90317</v>
      </c>
      <c r="E565">
        <v>6430560</v>
      </c>
    </row>
    <row r="566" spans="1:5" x14ac:dyDescent="0.3">
      <c r="A566" t="s">
        <v>83</v>
      </c>
      <c r="B566" t="s">
        <v>10</v>
      </c>
      <c r="C566">
        <v>9647897</v>
      </c>
      <c r="D566">
        <v>231900</v>
      </c>
      <c r="E566">
        <v>7407453</v>
      </c>
    </row>
    <row r="567" spans="1:5" x14ac:dyDescent="0.3">
      <c r="A567" t="s">
        <v>83</v>
      </c>
      <c r="B567" t="s">
        <v>11</v>
      </c>
      <c r="C567">
        <v>17224341</v>
      </c>
      <c r="D567">
        <v>207119</v>
      </c>
      <c r="E567">
        <v>12906819</v>
      </c>
    </row>
    <row r="568" spans="1:5" x14ac:dyDescent="0.3">
      <c r="A568" t="s">
        <v>83</v>
      </c>
      <c r="B568" t="s">
        <v>12</v>
      </c>
      <c r="C568">
        <v>15558770</v>
      </c>
      <c r="D568">
        <v>394858</v>
      </c>
      <c r="E568">
        <v>11760231</v>
      </c>
    </row>
    <row r="569" spans="1:5" x14ac:dyDescent="0.3">
      <c r="A569" t="s">
        <v>83</v>
      </c>
      <c r="B569" t="s">
        <v>13</v>
      </c>
      <c r="C569">
        <v>18410496</v>
      </c>
      <c r="D569">
        <v>490841</v>
      </c>
      <c r="E569">
        <v>13042080</v>
      </c>
    </row>
    <row r="570" spans="1:5" x14ac:dyDescent="0.3">
      <c r="A570" t="s">
        <v>84</v>
      </c>
      <c r="B570" t="s">
        <v>6</v>
      </c>
      <c r="C570">
        <v>17618804</v>
      </c>
      <c r="D570">
        <v>288209</v>
      </c>
      <c r="E570">
        <v>13346372</v>
      </c>
    </row>
    <row r="571" spans="1:5" x14ac:dyDescent="0.3">
      <c r="A571" t="s">
        <v>84</v>
      </c>
      <c r="B571" t="s">
        <v>7</v>
      </c>
      <c r="C571">
        <v>8614642</v>
      </c>
      <c r="D571">
        <v>233446</v>
      </c>
      <c r="E571">
        <v>6146931</v>
      </c>
    </row>
    <row r="572" spans="1:5" x14ac:dyDescent="0.3">
      <c r="A572" t="s">
        <v>84</v>
      </c>
      <c r="B572" t="s">
        <v>8</v>
      </c>
      <c r="C572">
        <v>7499421</v>
      </c>
      <c r="D572">
        <v>211099</v>
      </c>
      <c r="E572">
        <v>6429575</v>
      </c>
    </row>
    <row r="573" spans="1:5" x14ac:dyDescent="0.3">
      <c r="A573" t="s">
        <v>84</v>
      </c>
      <c r="B573" t="s">
        <v>9</v>
      </c>
      <c r="C573">
        <v>7751044</v>
      </c>
      <c r="D573">
        <v>131496</v>
      </c>
      <c r="E573">
        <v>6963744</v>
      </c>
    </row>
    <row r="574" spans="1:5" x14ac:dyDescent="0.3">
      <c r="A574" t="s">
        <v>84</v>
      </c>
      <c r="B574" t="s">
        <v>10</v>
      </c>
      <c r="C574">
        <v>9654161</v>
      </c>
      <c r="D574">
        <v>216951</v>
      </c>
      <c r="E574">
        <v>8620234</v>
      </c>
    </row>
    <row r="575" spans="1:5" x14ac:dyDescent="0.3">
      <c r="A575" t="s">
        <v>84</v>
      </c>
      <c r="B575" t="s">
        <v>11</v>
      </c>
      <c r="C575">
        <v>17240282</v>
      </c>
      <c r="D575">
        <v>351952</v>
      </c>
      <c r="E575">
        <v>15075309</v>
      </c>
    </row>
    <row r="576" spans="1:5" x14ac:dyDescent="0.3">
      <c r="A576" t="s">
        <v>84</v>
      </c>
      <c r="B576" t="s">
        <v>12</v>
      </c>
      <c r="C576">
        <v>15570125</v>
      </c>
      <c r="D576">
        <v>378902</v>
      </c>
      <c r="E576">
        <v>11550611</v>
      </c>
    </row>
    <row r="577" spans="1:5" x14ac:dyDescent="0.3">
      <c r="A577" t="s">
        <v>84</v>
      </c>
      <c r="B577" t="s">
        <v>13</v>
      </c>
      <c r="C577">
        <v>18456349</v>
      </c>
      <c r="D577">
        <v>311988</v>
      </c>
      <c r="E577">
        <v>13247364</v>
      </c>
    </row>
    <row r="578" spans="1:5" x14ac:dyDescent="0.3">
      <c r="A578" t="s">
        <v>85</v>
      </c>
      <c r="B578" t="s">
        <v>6</v>
      </c>
      <c r="C578">
        <v>17652224</v>
      </c>
      <c r="D578">
        <v>512052</v>
      </c>
      <c r="E578">
        <v>14867778</v>
      </c>
    </row>
    <row r="579" spans="1:5" x14ac:dyDescent="0.3">
      <c r="A579" t="s">
        <v>85</v>
      </c>
      <c r="B579" t="s">
        <v>7</v>
      </c>
      <c r="C579">
        <v>8616993</v>
      </c>
      <c r="D579">
        <v>190960</v>
      </c>
      <c r="E579">
        <v>7206584</v>
      </c>
    </row>
    <row r="580" spans="1:5" x14ac:dyDescent="0.3">
      <c r="A580" t="s">
        <v>85</v>
      </c>
      <c r="B580" t="s">
        <v>8</v>
      </c>
      <c r="C580">
        <v>7509830</v>
      </c>
      <c r="D580">
        <v>120353</v>
      </c>
      <c r="E580">
        <v>6181316</v>
      </c>
    </row>
    <row r="581" spans="1:5" x14ac:dyDescent="0.3">
      <c r="A581" t="s">
        <v>85</v>
      </c>
      <c r="B581" t="s">
        <v>9</v>
      </c>
      <c r="C581">
        <v>7754900</v>
      </c>
      <c r="D581">
        <v>110066</v>
      </c>
      <c r="E581">
        <v>5718095</v>
      </c>
    </row>
    <row r="582" spans="1:5" x14ac:dyDescent="0.3">
      <c r="A582" t="s">
        <v>85</v>
      </c>
      <c r="B582" t="s">
        <v>10</v>
      </c>
      <c r="C582">
        <v>9704005</v>
      </c>
      <c r="D582">
        <v>262629</v>
      </c>
      <c r="E582">
        <v>8390282</v>
      </c>
    </row>
    <row r="583" spans="1:5" x14ac:dyDescent="0.3">
      <c r="A583" t="s">
        <v>85</v>
      </c>
      <c r="B583" t="s">
        <v>11</v>
      </c>
      <c r="C583">
        <v>17288129</v>
      </c>
      <c r="D583">
        <v>372628</v>
      </c>
      <c r="E583">
        <v>13328100</v>
      </c>
    </row>
    <row r="584" spans="1:5" x14ac:dyDescent="0.3">
      <c r="A584" t="s">
        <v>85</v>
      </c>
      <c r="B584" t="s">
        <v>12</v>
      </c>
      <c r="C584">
        <v>15607379</v>
      </c>
      <c r="D584">
        <v>204349</v>
      </c>
      <c r="E584">
        <v>11385234</v>
      </c>
    </row>
    <row r="585" spans="1:5" x14ac:dyDescent="0.3">
      <c r="A585" t="s">
        <v>85</v>
      </c>
      <c r="B585" t="s">
        <v>13</v>
      </c>
      <c r="C585">
        <v>18478668</v>
      </c>
      <c r="D585">
        <v>457838</v>
      </c>
      <c r="E585">
        <v>14671064</v>
      </c>
    </row>
    <row r="586" spans="1:5" x14ac:dyDescent="0.3">
      <c r="A586" t="s">
        <v>86</v>
      </c>
      <c r="B586" t="s">
        <v>6</v>
      </c>
      <c r="C586">
        <v>17661132</v>
      </c>
      <c r="D586">
        <v>215947</v>
      </c>
      <c r="E586">
        <v>12758372</v>
      </c>
    </row>
    <row r="587" spans="1:5" x14ac:dyDescent="0.3">
      <c r="A587" t="s">
        <v>86</v>
      </c>
      <c r="B587" t="s">
        <v>7</v>
      </c>
      <c r="C587">
        <v>8638715</v>
      </c>
      <c r="D587">
        <v>223914</v>
      </c>
      <c r="E587">
        <v>7032371</v>
      </c>
    </row>
    <row r="588" spans="1:5" x14ac:dyDescent="0.3">
      <c r="A588" t="s">
        <v>86</v>
      </c>
      <c r="B588" t="s">
        <v>8</v>
      </c>
      <c r="C588">
        <v>7512161</v>
      </c>
      <c r="D588">
        <v>110267</v>
      </c>
      <c r="E588">
        <v>6333950</v>
      </c>
    </row>
    <row r="589" spans="1:5" x14ac:dyDescent="0.3">
      <c r="A589" t="s">
        <v>86</v>
      </c>
      <c r="B589" t="s">
        <v>9</v>
      </c>
      <c r="C589">
        <v>7773915</v>
      </c>
      <c r="D589">
        <v>105318</v>
      </c>
      <c r="E589">
        <v>5541930</v>
      </c>
    </row>
    <row r="590" spans="1:5" x14ac:dyDescent="0.3">
      <c r="A590" t="s">
        <v>86</v>
      </c>
      <c r="B590" t="s">
        <v>10</v>
      </c>
      <c r="C590">
        <v>9750183</v>
      </c>
      <c r="D590">
        <v>276042</v>
      </c>
      <c r="E590">
        <v>7299335</v>
      </c>
    </row>
    <row r="591" spans="1:5" x14ac:dyDescent="0.3">
      <c r="A591" t="s">
        <v>86</v>
      </c>
      <c r="B591" t="s">
        <v>11</v>
      </c>
      <c r="C591">
        <v>17291120</v>
      </c>
      <c r="D591">
        <v>455813</v>
      </c>
      <c r="E591">
        <v>12259784</v>
      </c>
    </row>
    <row r="592" spans="1:5" x14ac:dyDescent="0.3">
      <c r="A592" t="s">
        <v>86</v>
      </c>
      <c r="B592" t="s">
        <v>12</v>
      </c>
      <c r="C592">
        <v>15646781</v>
      </c>
      <c r="D592">
        <v>460588</v>
      </c>
      <c r="E592">
        <v>13604969</v>
      </c>
    </row>
    <row r="593" spans="1:5" x14ac:dyDescent="0.3">
      <c r="A593" t="s">
        <v>86</v>
      </c>
      <c r="B593" t="s">
        <v>13</v>
      </c>
      <c r="C593">
        <v>18525766</v>
      </c>
      <c r="D593">
        <v>346270</v>
      </c>
      <c r="E593">
        <v>14691189</v>
      </c>
    </row>
    <row r="594" spans="1:5" x14ac:dyDescent="0.3">
      <c r="A594" t="s">
        <v>87</v>
      </c>
      <c r="B594" t="s">
        <v>6</v>
      </c>
      <c r="C594">
        <v>17697513</v>
      </c>
      <c r="D594">
        <v>345041</v>
      </c>
      <c r="E594">
        <v>13306407</v>
      </c>
    </row>
    <row r="595" spans="1:5" x14ac:dyDescent="0.3">
      <c r="A595" t="s">
        <v>87</v>
      </c>
      <c r="B595" t="s">
        <v>7</v>
      </c>
      <c r="C595">
        <v>8657646</v>
      </c>
      <c r="D595">
        <v>223217</v>
      </c>
      <c r="E595">
        <v>7774232</v>
      </c>
    </row>
    <row r="596" spans="1:5" x14ac:dyDescent="0.3">
      <c r="A596" t="s">
        <v>87</v>
      </c>
      <c r="B596" t="s">
        <v>8</v>
      </c>
      <c r="C596">
        <v>7546547</v>
      </c>
      <c r="D596">
        <v>155662</v>
      </c>
      <c r="E596">
        <v>6105382</v>
      </c>
    </row>
    <row r="597" spans="1:5" x14ac:dyDescent="0.3">
      <c r="A597" t="s">
        <v>87</v>
      </c>
      <c r="B597" t="s">
        <v>9</v>
      </c>
      <c r="C597">
        <v>7785152</v>
      </c>
      <c r="D597">
        <v>179112</v>
      </c>
      <c r="E597">
        <v>6540603</v>
      </c>
    </row>
    <row r="598" spans="1:5" x14ac:dyDescent="0.3">
      <c r="A598" t="s">
        <v>87</v>
      </c>
      <c r="B598" t="s">
        <v>10</v>
      </c>
      <c r="C598">
        <v>9762835</v>
      </c>
      <c r="D598">
        <v>176711</v>
      </c>
      <c r="E598">
        <v>7590294</v>
      </c>
    </row>
    <row r="599" spans="1:5" x14ac:dyDescent="0.3">
      <c r="A599" t="s">
        <v>87</v>
      </c>
      <c r="B599" t="s">
        <v>11</v>
      </c>
      <c r="C599">
        <v>17336620</v>
      </c>
      <c r="D599">
        <v>235707</v>
      </c>
      <c r="E599">
        <v>13350564</v>
      </c>
    </row>
    <row r="600" spans="1:5" x14ac:dyDescent="0.3">
      <c r="A600" t="s">
        <v>87</v>
      </c>
      <c r="B600" t="s">
        <v>12</v>
      </c>
      <c r="C600">
        <v>15670966</v>
      </c>
      <c r="D600">
        <v>367897</v>
      </c>
      <c r="E600">
        <v>13785267</v>
      </c>
    </row>
    <row r="601" spans="1:5" x14ac:dyDescent="0.3">
      <c r="A601" t="s">
        <v>87</v>
      </c>
      <c r="B601" t="s">
        <v>13</v>
      </c>
      <c r="C601">
        <v>18550362</v>
      </c>
      <c r="D601">
        <v>274625</v>
      </c>
      <c r="E601">
        <v>16335888</v>
      </c>
    </row>
    <row r="602" spans="1:5" x14ac:dyDescent="0.3">
      <c r="A602" t="s">
        <v>88</v>
      </c>
      <c r="B602" t="s">
        <v>6</v>
      </c>
      <c r="C602">
        <v>17724999</v>
      </c>
      <c r="D602">
        <v>494693</v>
      </c>
      <c r="E602">
        <v>13683800</v>
      </c>
    </row>
    <row r="603" spans="1:5" x14ac:dyDescent="0.3">
      <c r="A603" t="s">
        <v>88</v>
      </c>
      <c r="B603" t="s">
        <v>7</v>
      </c>
      <c r="C603">
        <v>8686576</v>
      </c>
      <c r="D603">
        <v>203487</v>
      </c>
      <c r="E603">
        <v>6775410</v>
      </c>
    </row>
    <row r="604" spans="1:5" x14ac:dyDescent="0.3">
      <c r="A604" t="s">
        <v>88</v>
      </c>
      <c r="B604" t="s">
        <v>8</v>
      </c>
      <c r="C604">
        <v>7566249</v>
      </c>
      <c r="D604">
        <v>170322</v>
      </c>
      <c r="E604">
        <v>6751170</v>
      </c>
    </row>
    <row r="605" spans="1:5" x14ac:dyDescent="0.3">
      <c r="A605" t="s">
        <v>88</v>
      </c>
      <c r="B605" t="s">
        <v>9</v>
      </c>
      <c r="C605">
        <v>7830092</v>
      </c>
      <c r="D605">
        <v>91573</v>
      </c>
      <c r="E605">
        <v>6825424</v>
      </c>
    </row>
    <row r="606" spans="1:5" x14ac:dyDescent="0.3">
      <c r="A606" t="s">
        <v>88</v>
      </c>
      <c r="B606" t="s">
        <v>10</v>
      </c>
      <c r="C606">
        <v>9795942</v>
      </c>
      <c r="D606">
        <v>196374</v>
      </c>
      <c r="E606">
        <v>8187704</v>
      </c>
    </row>
    <row r="607" spans="1:5" x14ac:dyDescent="0.3">
      <c r="A607" t="s">
        <v>88</v>
      </c>
      <c r="B607" t="s">
        <v>11</v>
      </c>
      <c r="C607">
        <v>17379767</v>
      </c>
      <c r="D607">
        <v>246292</v>
      </c>
      <c r="E607">
        <v>15538447</v>
      </c>
    </row>
    <row r="608" spans="1:5" x14ac:dyDescent="0.3">
      <c r="A608" t="s">
        <v>88</v>
      </c>
      <c r="B608" t="s">
        <v>12</v>
      </c>
      <c r="C608">
        <v>15679596</v>
      </c>
      <c r="D608">
        <v>275894</v>
      </c>
      <c r="E608">
        <v>11204285</v>
      </c>
    </row>
    <row r="609" spans="1:5" x14ac:dyDescent="0.3">
      <c r="A609" t="s">
        <v>88</v>
      </c>
      <c r="B609" t="s">
        <v>13</v>
      </c>
      <c r="C609">
        <v>18584775</v>
      </c>
      <c r="D609">
        <v>482425</v>
      </c>
      <c r="E609">
        <v>13658082</v>
      </c>
    </row>
    <row r="610" spans="1:5" x14ac:dyDescent="0.3">
      <c r="A610" t="s">
        <v>89</v>
      </c>
      <c r="B610" t="s">
        <v>6</v>
      </c>
      <c r="C610">
        <v>17768166</v>
      </c>
      <c r="D610">
        <v>343242</v>
      </c>
      <c r="E610">
        <v>15689938</v>
      </c>
    </row>
    <row r="611" spans="1:5" x14ac:dyDescent="0.3">
      <c r="A611" t="s">
        <v>89</v>
      </c>
      <c r="B611" t="s">
        <v>7</v>
      </c>
      <c r="C611">
        <v>8731151</v>
      </c>
      <c r="D611">
        <v>235444</v>
      </c>
      <c r="E611">
        <v>6971049</v>
      </c>
    </row>
    <row r="612" spans="1:5" x14ac:dyDescent="0.3">
      <c r="A612" t="s">
        <v>89</v>
      </c>
      <c r="B612" t="s">
        <v>8</v>
      </c>
      <c r="C612">
        <v>7593964</v>
      </c>
      <c r="D612">
        <v>102104</v>
      </c>
      <c r="E612">
        <v>5322722</v>
      </c>
    </row>
    <row r="613" spans="1:5" x14ac:dyDescent="0.3">
      <c r="A613" t="s">
        <v>89</v>
      </c>
      <c r="B613" t="s">
        <v>9</v>
      </c>
      <c r="C613">
        <v>7841309</v>
      </c>
      <c r="D613">
        <v>95694</v>
      </c>
      <c r="E613">
        <v>6245934</v>
      </c>
    </row>
    <row r="614" spans="1:5" x14ac:dyDescent="0.3">
      <c r="A614" t="s">
        <v>89</v>
      </c>
      <c r="B614" t="s">
        <v>10</v>
      </c>
      <c r="C614">
        <v>9806267</v>
      </c>
      <c r="D614">
        <v>257293</v>
      </c>
      <c r="E614">
        <v>6957819</v>
      </c>
    </row>
    <row r="615" spans="1:5" x14ac:dyDescent="0.3">
      <c r="A615" t="s">
        <v>89</v>
      </c>
      <c r="B615" t="s">
        <v>11</v>
      </c>
      <c r="C615">
        <v>17382109</v>
      </c>
      <c r="D615">
        <v>493365</v>
      </c>
      <c r="E615">
        <v>14904901</v>
      </c>
    </row>
    <row r="616" spans="1:5" x14ac:dyDescent="0.3">
      <c r="A616" t="s">
        <v>89</v>
      </c>
      <c r="B616" t="s">
        <v>12</v>
      </c>
      <c r="C616">
        <v>15684920</v>
      </c>
      <c r="D616">
        <v>372428</v>
      </c>
      <c r="E616">
        <v>12618063</v>
      </c>
    </row>
    <row r="617" spans="1:5" x14ac:dyDescent="0.3">
      <c r="A617" t="s">
        <v>89</v>
      </c>
      <c r="B617" t="s">
        <v>13</v>
      </c>
      <c r="C617">
        <v>18609506</v>
      </c>
      <c r="D617">
        <v>259554</v>
      </c>
      <c r="E617">
        <v>14964526</v>
      </c>
    </row>
    <row r="618" spans="1:5" x14ac:dyDescent="0.3">
      <c r="A618" t="s">
        <v>90</v>
      </c>
      <c r="B618" t="s">
        <v>6</v>
      </c>
      <c r="C618">
        <v>17786449</v>
      </c>
      <c r="D618">
        <v>267085</v>
      </c>
      <c r="E618">
        <v>13378543</v>
      </c>
    </row>
    <row r="619" spans="1:5" x14ac:dyDescent="0.3">
      <c r="A619" t="s">
        <v>90</v>
      </c>
      <c r="B619" t="s">
        <v>7</v>
      </c>
      <c r="C619">
        <v>8733568</v>
      </c>
      <c r="D619">
        <v>238673</v>
      </c>
      <c r="E619">
        <v>6339542</v>
      </c>
    </row>
    <row r="620" spans="1:5" x14ac:dyDescent="0.3">
      <c r="A620" t="s">
        <v>90</v>
      </c>
      <c r="B620" t="s">
        <v>8</v>
      </c>
      <c r="C620">
        <v>7629718</v>
      </c>
      <c r="D620">
        <v>100863</v>
      </c>
      <c r="E620">
        <v>5342632</v>
      </c>
    </row>
    <row r="621" spans="1:5" x14ac:dyDescent="0.3">
      <c r="A621" t="s">
        <v>90</v>
      </c>
      <c r="B621" t="s">
        <v>9</v>
      </c>
      <c r="C621">
        <v>7844999</v>
      </c>
      <c r="D621">
        <v>223278</v>
      </c>
      <c r="E621">
        <v>7032321</v>
      </c>
    </row>
    <row r="622" spans="1:5" x14ac:dyDescent="0.3">
      <c r="A622" t="s">
        <v>90</v>
      </c>
      <c r="B622" t="s">
        <v>10</v>
      </c>
      <c r="C622">
        <v>9836554</v>
      </c>
      <c r="D622">
        <v>203742</v>
      </c>
      <c r="E622">
        <v>7884726</v>
      </c>
    </row>
    <row r="623" spans="1:5" x14ac:dyDescent="0.3">
      <c r="A623" t="s">
        <v>90</v>
      </c>
      <c r="B623" t="s">
        <v>11</v>
      </c>
      <c r="C623">
        <v>17410464</v>
      </c>
      <c r="D623">
        <v>295386</v>
      </c>
      <c r="E623">
        <v>15067995</v>
      </c>
    </row>
    <row r="624" spans="1:5" x14ac:dyDescent="0.3">
      <c r="A624" t="s">
        <v>90</v>
      </c>
      <c r="B624" t="s">
        <v>12</v>
      </c>
      <c r="C624">
        <v>15710361</v>
      </c>
      <c r="D624">
        <v>321615</v>
      </c>
      <c r="E624">
        <v>11160029</v>
      </c>
    </row>
    <row r="625" spans="1:5" x14ac:dyDescent="0.3">
      <c r="A625" t="s">
        <v>90</v>
      </c>
      <c r="B625" t="s">
        <v>13</v>
      </c>
      <c r="C625">
        <v>18646550</v>
      </c>
      <c r="D625">
        <v>471625</v>
      </c>
      <c r="E625">
        <v>16607070</v>
      </c>
    </row>
    <row r="626" spans="1:5" x14ac:dyDescent="0.3">
      <c r="A626" t="s">
        <v>91</v>
      </c>
      <c r="B626" t="s">
        <v>6</v>
      </c>
      <c r="C626">
        <v>17835533</v>
      </c>
      <c r="D626">
        <v>296863</v>
      </c>
      <c r="E626">
        <v>15186323</v>
      </c>
    </row>
    <row r="627" spans="1:5" x14ac:dyDescent="0.3">
      <c r="A627" t="s">
        <v>91</v>
      </c>
      <c r="B627" t="s">
        <v>7</v>
      </c>
      <c r="C627">
        <v>8779277</v>
      </c>
      <c r="D627">
        <v>230879</v>
      </c>
      <c r="E627">
        <v>6884891</v>
      </c>
    </row>
    <row r="628" spans="1:5" x14ac:dyDescent="0.3">
      <c r="A628" t="s">
        <v>91</v>
      </c>
      <c r="B628" t="s">
        <v>8</v>
      </c>
      <c r="C628">
        <v>7652966</v>
      </c>
      <c r="D628">
        <v>152321</v>
      </c>
      <c r="E628">
        <v>6526870</v>
      </c>
    </row>
    <row r="629" spans="1:5" x14ac:dyDescent="0.3">
      <c r="A629" t="s">
        <v>91</v>
      </c>
      <c r="B629" t="s">
        <v>9</v>
      </c>
      <c r="C629">
        <v>7855052</v>
      </c>
      <c r="D629">
        <v>187419</v>
      </c>
      <c r="E629">
        <v>6082102</v>
      </c>
    </row>
    <row r="630" spans="1:5" x14ac:dyDescent="0.3">
      <c r="A630" t="s">
        <v>91</v>
      </c>
      <c r="B630" t="s">
        <v>10</v>
      </c>
      <c r="C630">
        <v>9882458</v>
      </c>
      <c r="D630">
        <v>101257</v>
      </c>
      <c r="E630">
        <v>8545200</v>
      </c>
    </row>
    <row r="631" spans="1:5" x14ac:dyDescent="0.3">
      <c r="A631" t="s">
        <v>91</v>
      </c>
      <c r="B631" t="s">
        <v>11</v>
      </c>
      <c r="C631">
        <v>17450966</v>
      </c>
      <c r="D631">
        <v>176054</v>
      </c>
      <c r="E631">
        <v>13953121</v>
      </c>
    </row>
    <row r="632" spans="1:5" x14ac:dyDescent="0.3">
      <c r="A632" t="s">
        <v>91</v>
      </c>
      <c r="B632" t="s">
        <v>12</v>
      </c>
      <c r="C632">
        <v>15719991</v>
      </c>
      <c r="D632">
        <v>257827</v>
      </c>
      <c r="E632">
        <v>11547135</v>
      </c>
    </row>
    <row r="633" spans="1:5" x14ac:dyDescent="0.3">
      <c r="A633" t="s">
        <v>91</v>
      </c>
      <c r="B633" t="s">
        <v>13</v>
      </c>
      <c r="C633">
        <v>18659569</v>
      </c>
      <c r="D633">
        <v>507796</v>
      </c>
      <c r="E633">
        <v>13822427</v>
      </c>
    </row>
    <row r="634" spans="1:5" x14ac:dyDescent="0.3">
      <c r="A634" t="s">
        <v>92</v>
      </c>
      <c r="B634" t="s">
        <v>6</v>
      </c>
      <c r="C634">
        <v>17876977</v>
      </c>
      <c r="D634">
        <v>228292</v>
      </c>
      <c r="E634">
        <v>14836800</v>
      </c>
    </row>
    <row r="635" spans="1:5" x14ac:dyDescent="0.3">
      <c r="A635" t="s">
        <v>92</v>
      </c>
      <c r="B635" t="s">
        <v>7</v>
      </c>
      <c r="C635">
        <v>8820459</v>
      </c>
      <c r="D635">
        <v>189203</v>
      </c>
      <c r="E635">
        <v>7316099</v>
      </c>
    </row>
    <row r="636" spans="1:5" x14ac:dyDescent="0.3">
      <c r="A636" t="s">
        <v>92</v>
      </c>
      <c r="B636" t="s">
        <v>8</v>
      </c>
      <c r="C636">
        <v>7688424</v>
      </c>
      <c r="D636">
        <v>176247</v>
      </c>
      <c r="E636">
        <v>6290458</v>
      </c>
    </row>
    <row r="637" spans="1:5" x14ac:dyDescent="0.3">
      <c r="A637" t="s">
        <v>92</v>
      </c>
      <c r="B637" t="s">
        <v>9</v>
      </c>
      <c r="C637">
        <v>7894176</v>
      </c>
      <c r="D637">
        <v>91326</v>
      </c>
      <c r="E637">
        <v>6274516</v>
      </c>
    </row>
    <row r="638" spans="1:5" x14ac:dyDescent="0.3">
      <c r="A638" t="s">
        <v>92</v>
      </c>
      <c r="B638" t="s">
        <v>10</v>
      </c>
      <c r="C638">
        <v>9921307</v>
      </c>
      <c r="D638">
        <v>178084</v>
      </c>
      <c r="E638">
        <v>8809696</v>
      </c>
    </row>
    <row r="639" spans="1:5" x14ac:dyDescent="0.3">
      <c r="A639" t="s">
        <v>92</v>
      </c>
      <c r="B639" t="s">
        <v>11</v>
      </c>
      <c r="C639">
        <v>17471789</v>
      </c>
      <c r="D639">
        <v>478021</v>
      </c>
      <c r="E639">
        <v>15631065</v>
      </c>
    </row>
    <row r="640" spans="1:5" x14ac:dyDescent="0.3">
      <c r="A640" t="s">
        <v>92</v>
      </c>
      <c r="B640" t="s">
        <v>12</v>
      </c>
      <c r="C640">
        <v>15765716</v>
      </c>
      <c r="D640">
        <v>258905</v>
      </c>
      <c r="E640">
        <v>13393830</v>
      </c>
    </row>
    <row r="641" spans="1:5" x14ac:dyDescent="0.3">
      <c r="A641" t="s">
        <v>92</v>
      </c>
      <c r="B641" t="s">
        <v>13</v>
      </c>
      <c r="C641">
        <v>18705367</v>
      </c>
      <c r="D641">
        <v>227588</v>
      </c>
      <c r="E641">
        <v>15902045</v>
      </c>
    </row>
    <row r="642" spans="1:5" x14ac:dyDescent="0.3">
      <c r="A642" t="s">
        <v>93</v>
      </c>
      <c r="B642" t="s">
        <v>6</v>
      </c>
      <c r="C642">
        <v>17893143</v>
      </c>
      <c r="D642">
        <v>262707</v>
      </c>
      <c r="E642">
        <v>13165786</v>
      </c>
    </row>
    <row r="643" spans="1:5" x14ac:dyDescent="0.3">
      <c r="A643" t="s">
        <v>93</v>
      </c>
      <c r="B643" t="s">
        <v>7</v>
      </c>
      <c r="C643">
        <v>8859700</v>
      </c>
      <c r="D643">
        <v>182573</v>
      </c>
      <c r="E643">
        <v>7403215</v>
      </c>
    </row>
    <row r="644" spans="1:5" x14ac:dyDescent="0.3">
      <c r="A644" t="s">
        <v>93</v>
      </c>
      <c r="B644" t="s">
        <v>8</v>
      </c>
      <c r="C644">
        <v>7731299</v>
      </c>
      <c r="D644">
        <v>155579</v>
      </c>
      <c r="E644">
        <v>6210684</v>
      </c>
    </row>
    <row r="645" spans="1:5" x14ac:dyDescent="0.3">
      <c r="A645" t="s">
        <v>93</v>
      </c>
      <c r="B645" t="s">
        <v>9</v>
      </c>
      <c r="C645">
        <v>7935918</v>
      </c>
      <c r="D645">
        <v>122034</v>
      </c>
      <c r="E645">
        <v>5830610</v>
      </c>
    </row>
    <row r="646" spans="1:5" x14ac:dyDescent="0.3">
      <c r="A646" t="s">
        <v>93</v>
      </c>
      <c r="B646" t="s">
        <v>10</v>
      </c>
      <c r="C646">
        <v>9966338</v>
      </c>
      <c r="D646">
        <v>290315</v>
      </c>
      <c r="E646">
        <v>8629524</v>
      </c>
    </row>
    <row r="647" spans="1:5" x14ac:dyDescent="0.3">
      <c r="A647" t="s">
        <v>93</v>
      </c>
      <c r="B647" t="s">
        <v>11</v>
      </c>
      <c r="C647">
        <v>17509732</v>
      </c>
      <c r="D647">
        <v>513835</v>
      </c>
      <c r="E647">
        <v>13326245</v>
      </c>
    </row>
    <row r="648" spans="1:5" x14ac:dyDescent="0.3">
      <c r="A648" t="s">
        <v>93</v>
      </c>
      <c r="B648" t="s">
        <v>12</v>
      </c>
      <c r="C648">
        <v>15813475</v>
      </c>
      <c r="D648">
        <v>276341</v>
      </c>
      <c r="E648">
        <v>12042805</v>
      </c>
    </row>
    <row r="649" spans="1:5" x14ac:dyDescent="0.3">
      <c r="A649" t="s">
        <v>93</v>
      </c>
      <c r="B649" t="s">
        <v>13</v>
      </c>
      <c r="C649">
        <v>18731323</v>
      </c>
      <c r="D649">
        <v>272596</v>
      </c>
      <c r="E649">
        <v>14715614</v>
      </c>
    </row>
    <row r="650" spans="1:5" x14ac:dyDescent="0.3">
      <c r="A650" t="s">
        <v>94</v>
      </c>
      <c r="B650" t="s">
        <v>6</v>
      </c>
      <c r="C650">
        <v>17936110</v>
      </c>
      <c r="D650">
        <v>483122</v>
      </c>
      <c r="E650">
        <v>13557222</v>
      </c>
    </row>
    <row r="651" spans="1:5" x14ac:dyDescent="0.3">
      <c r="A651" t="s">
        <v>94</v>
      </c>
      <c r="B651" t="s">
        <v>7</v>
      </c>
      <c r="C651">
        <v>8901383</v>
      </c>
      <c r="D651">
        <v>156676</v>
      </c>
      <c r="E651">
        <v>7068460</v>
      </c>
    </row>
    <row r="652" spans="1:5" x14ac:dyDescent="0.3">
      <c r="A652" t="s">
        <v>94</v>
      </c>
      <c r="B652" t="s">
        <v>8</v>
      </c>
      <c r="C652">
        <v>7753984</v>
      </c>
      <c r="D652">
        <v>225832</v>
      </c>
      <c r="E652">
        <v>6771931</v>
      </c>
    </row>
    <row r="653" spans="1:5" x14ac:dyDescent="0.3">
      <c r="A653" t="s">
        <v>94</v>
      </c>
      <c r="B653" t="s">
        <v>9</v>
      </c>
      <c r="C653">
        <v>7942954</v>
      </c>
      <c r="D653">
        <v>216380</v>
      </c>
      <c r="E653">
        <v>6846903</v>
      </c>
    </row>
    <row r="654" spans="1:5" x14ac:dyDescent="0.3">
      <c r="A654" t="s">
        <v>94</v>
      </c>
      <c r="B654" t="s">
        <v>10</v>
      </c>
      <c r="C654">
        <v>10005783</v>
      </c>
      <c r="D654">
        <v>128961</v>
      </c>
      <c r="E654">
        <v>8844021</v>
      </c>
    </row>
    <row r="655" spans="1:5" x14ac:dyDescent="0.3">
      <c r="A655" t="s">
        <v>94</v>
      </c>
      <c r="B655" t="s">
        <v>11</v>
      </c>
      <c r="C655">
        <v>17548868</v>
      </c>
      <c r="D655">
        <v>244124</v>
      </c>
      <c r="E655">
        <v>15265617</v>
      </c>
    </row>
    <row r="656" spans="1:5" x14ac:dyDescent="0.3">
      <c r="A656" t="s">
        <v>94</v>
      </c>
      <c r="B656" t="s">
        <v>12</v>
      </c>
      <c r="C656">
        <v>15823600</v>
      </c>
      <c r="D656">
        <v>409975</v>
      </c>
      <c r="E656">
        <v>11935851</v>
      </c>
    </row>
    <row r="657" spans="1:5" x14ac:dyDescent="0.3">
      <c r="A657" t="s">
        <v>94</v>
      </c>
      <c r="B657" t="s">
        <v>13</v>
      </c>
      <c r="C657">
        <v>18776972</v>
      </c>
      <c r="D657">
        <v>265531</v>
      </c>
      <c r="E657">
        <v>16524626</v>
      </c>
    </row>
    <row r="658" spans="1:5" x14ac:dyDescent="0.3">
      <c r="A658" t="s">
        <v>95</v>
      </c>
      <c r="B658" t="s">
        <v>6</v>
      </c>
      <c r="C658">
        <v>17980733</v>
      </c>
      <c r="D658">
        <v>313777</v>
      </c>
      <c r="E658">
        <v>15080269</v>
      </c>
    </row>
    <row r="659" spans="1:5" x14ac:dyDescent="0.3">
      <c r="A659" t="s">
        <v>95</v>
      </c>
      <c r="B659" t="s">
        <v>7</v>
      </c>
      <c r="C659">
        <v>8938959</v>
      </c>
      <c r="D659">
        <v>223739</v>
      </c>
      <c r="E659">
        <v>6779813</v>
      </c>
    </row>
    <row r="660" spans="1:5" x14ac:dyDescent="0.3">
      <c r="A660" t="s">
        <v>95</v>
      </c>
      <c r="B660" t="s">
        <v>8</v>
      </c>
      <c r="C660">
        <v>7780407</v>
      </c>
      <c r="D660">
        <v>121859</v>
      </c>
      <c r="E660">
        <v>6874772</v>
      </c>
    </row>
    <row r="661" spans="1:5" x14ac:dyDescent="0.3">
      <c r="A661" t="s">
        <v>95</v>
      </c>
      <c r="B661" t="s">
        <v>9</v>
      </c>
      <c r="C661">
        <v>7960562</v>
      </c>
      <c r="D661">
        <v>145886</v>
      </c>
      <c r="E661">
        <v>6542889</v>
      </c>
    </row>
    <row r="662" spans="1:5" x14ac:dyDescent="0.3">
      <c r="A662" t="s">
        <v>95</v>
      </c>
      <c r="B662" t="s">
        <v>10</v>
      </c>
      <c r="C662">
        <v>10021847</v>
      </c>
      <c r="D662">
        <v>126587</v>
      </c>
      <c r="E662">
        <v>7973437</v>
      </c>
    </row>
    <row r="663" spans="1:5" x14ac:dyDescent="0.3">
      <c r="A663" t="s">
        <v>95</v>
      </c>
      <c r="B663" t="s">
        <v>11</v>
      </c>
      <c r="C663">
        <v>17568728</v>
      </c>
      <c r="D663">
        <v>441307</v>
      </c>
      <c r="E663">
        <v>13309412</v>
      </c>
    </row>
    <row r="664" spans="1:5" x14ac:dyDescent="0.3">
      <c r="A664" t="s">
        <v>95</v>
      </c>
      <c r="B664" t="s">
        <v>12</v>
      </c>
      <c r="C664">
        <v>15825973</v>
      </c>
      <c r="D664">
        <v>303339</v>
      </c>
      <c r="E664">
        <v>11750070</v>
      </c>
    </row>
    <row r="665" spans="1:5" x14ac:dyDescent="0.3">
      <c r="A665" t="s">
        <v>95</v>
      </c>
      <c r="B665" t="s">
        <v>13</v>
      </c>
      <c r="C665">
        <v>18825705</v>
      </c>
      <c r="D665">
        <v>294247</v>
      </c>
      <c r="E665">
        <v>13938947</v>
      </c>
    </row>
    <row r="666" spans="1:5" x14ac:dyDescent="0.3">
      <c r="A666" t="s">
        <v>96</v>
      </c>
      <c r="B666" t="s">
        <v>6</v>
      </c>
      <c r="C666">
        <v>18003251</v>
      </c>
      <c r="D666">
        <v>449371</v>
      </c>
      <c r="E666">
        <v>13633685</v>
      </c>
    </row>
    <row r="667" spans="1:5" x14ac:dyDescent="0.3">
      <c r="A667" t="s">
        <v>96</v>
      </c>
      <c r="B667" t="s">
        <v>7</v>
      </c>
      <c r="C667">
        <v>8944454</v>
      </c>
      <c r="D667">
        <v>127254</v>
      </c>
      <c r="E667">
        <v>7154513</v>
      </c>
    </row>
    <row r="668" spans="1:5" x14ac:dyDescent="0.3">
      <c r="A668" t="s">
        <v>96</v>
      </c>
      <c r="B668" t="s">
        <v>8</v>
      </c>
      <c r="C668">
        <v>7827708</v>
      </c>
      <c r="D668">
        <v>165604</v>
      </c>
      <c r="E668">
        <v>6028919</v>
      </c>
    </row>
    <row r="669" spans="1:5" x14ac:dyDescent="0.3">
      <c r="A669" t="s">
        <v>96</v>
      </c>
      <c r="B669" t="s">
        <v>9</v>
      </c>
      <c r="C669">
        <v>7964368</v>
      </c>
      <c r="D669">
        <v>120974</v>
      </c>
      <c r="E669">
        <v>6253467</v>
      </c>
    </row>
    <row r="670" spans="1:5" x14ac:dyDescent="0.3">
      <c r="A670" t="s">
        <v>96</v>
      </c>
      <c r="B670" t="s">
        <v>10</v>
      </c>
      <c r="C670">
        <v>10058866</v>
      </c>
      <c r="D670">
        <v>207017</v>
      </c>
      <c r="E670">
        <v>7868209</v>
      </c>
    </row>
    <row r="671" spans="1:5" x14ac:dyDescent="0.3">
      <c r="A671" t="s">
        <v>96</v>
      </c>
      <c r="B671" t="s">
        <v>11</v>
      </c>
      <c r="C671">
        <v>17590433</v>
      </c>
      <c r="D671">
        <v>180658</v>
      </c>
      <c r="E671">
        <v>14785109</v>
      </c>
    </row>
    <row r="672" spans="1:5" x14ac:dyDescent="0.3">
      <c r="A672" t="s">
        <v>96</v>
      </c>
      <c r="B672" t="s">
        <v>12</v>
      </c>
      <c r="C672">
        <v>15855623</v>
      </c>
      <c r="D672">
        <v>383648</v>
      </c>
      <c r="E672">
        <v>12416351</v>
      </c>
    </row>
    <row r="673" spans="1:5" x14ac:dyDescent="0.3">
      <c r="A673" t="s">
        <v>96</v>
      </c>
      <c r="B673" t="s">
        <v>13</v>
      </c>
      <c r="C673">
        <v>18873905</v>
      </c>
      <c r="D673">
        <v>440962</v>
      </c>
      <c r="E673">
        <v>13827142</v>
      </c>
    </row>
    <row r="674" spans="1:5" x14ac:dyDescent="0.3">
      <c r="A674" t="s">
        <v>97</v>
      </c>
      <c r="B674" t="s">
        <v>6</v>
      </c>
      <c r="C674">
        <v>18031958</v>
      </c>
      <c r="D674">
        <v>283997</v>
      </c>
      <c r="E674">
        <v>14977349</v>
      </c>
    </row>
    <row r="675" spans="1:5" x14ac:dyDescent="0.3">
      <c r="A675" t="s">
        <v>97</v>
      </c>
      <c r="B675" t="s">
        <v>7</v>
      </c>
      <c r="C675">
        <v>8979529</v>
      </c>
      <c r="D675">
        <v>177448</v>
      </c>
      <c r="E675">
        <v>7566363</v>
      </c>
    </row>
    <row r="676" spans="1:5" x14ac:dyDescent="0.3">
      <c r="A676" t="s">
        <v>97</v>
      </c>
      <c r="B676" t="s">
        <v>8</v>
      </c>
      <c r="C676">
        <v>7829125</v>
      </c>
      <c r="D676">
        <v>126304</v>
      </c>
      <c r="E676">
        <v>6238824</v>
      </c>
    </row>
    <row r="677" spans="1:5" x14ac:dyDescent="0.3">
      <c r="A677" t="s">
        <v>97</v>
      </c>
      <c r="B677" t="s">
        <v>9</v>
      </c>
      <c r="C677">
        <v>7980402</v>
      </c>
      <c r="D677">
        <v>226566</v>
      </c>
      <c r="E677">
        <v>6425667</v>
      </c>
    </row>
    <row r="678" spans="1:5" x14ac:dyDescent="0.3">
      <c r="A678" t="s">
        <v>97</v>
      </c>
      <c r="B678" t="s">
        <v>10</v>
      </c>
      <c r="C678">
        <v>10079314</v>
      </c>
      <c r="D678">
        <v>119831</v>
      </c>
      <c r="E678">
        <v>7744869</v>
      </c>
    </row>
    <row r="679" spans="1:5" x14ac:dyDescent="0.3">
      <c r="A679" t="s">
        <v>97</v>
      </c>
      <c r="B679" t="s">
        <v>11</v>
      </c>
      <c r="C679">
        <v>17596153</v>
      </c>
      <c r="D679">
        <v>209861</v>
      </c>
      <c r="E679">
        <v>15582285</v>
      </c>
    </row>
    <row r="680" spans="1:5" x14ac:dyDescent="0.3">
      <c r="A680" t="s">
        <v>97</v>
      </c>
      <c r="B680" t="s">
        <v>12</v>
      </c>
      <c r="C680">
        <v>15867972</v>
      </c>
      <c r="D680">
        <v>292560</v>
      </c>
      <c r="E680">
        <v>13605427</v>
      </c>
    </row>
    <row r="681" spans="1:5" x14ac:dyDescent="0.3">
      <c r="A681" t="s">
        <v>97</v>
      </c>
      <c r="B681" t="s">
        <v>13</v>
      </c>
      <c r="C681">
        <v>18893470</v>
      </c>
      <c r="D681">
        <v>281073</v>
      </c>
      <c r="E681">
        <v>16310920</v>
      </c>
    </row>
    <row r="682" spans="1:5" x14ac:dyDescent="0.3">
      <c r="A682" t="s">
        <v>98</v>
      </c>
      <c r="B682" t="s">
        <v>6</v>
      </c>
      <c r="C682">
        <v>18063848</v>
      </c>
      <c r="D682">
        <v>225978</v>
      </c>
      <c r="E682">
        <v>14774128</v>
      </c>
    </row>
    <row r="683" spans="1:5" x14ac:dyDescent="0.3">
      <c r="A683" t="s">
        <v>98</v>
      </c>
      <c r="B683" t="s">
        <v>7</v>
      </c>
      <c r="C683">
        <v>8997265</v>
      </c>
      <c r="D683">
        <v>116015</v>
      </c>
      <c r="E683">
        <v>6950237</v>
      </c>
    </row>
    <row r="684" spans="1:5" x14ac:dyDescent="0.3">
      <c r="A684" t="s">
        <v>98</v>
      </c>
      <c r="B684" t="s">
        <v>8</v>
      </c>
      <c r="C684">
        <v>7845933</v>
      </c>
      <c r="D684">
        <v>182688</v>
      </c>
      <c r="E684">
        <v>5712279</v>
      </c>
    </row>
    <row r="685" spans="1:5" x14ac:dyDescent="0.3">
      <c r="A685" t="s">
        <v>98</v>
      </c>
      <c r="B685" t="s">
        <v>9</v>
      </c>
      <c r="C685">
        <v>8003317</v>
      </c>
      <c r="D685">
        <v>133981</v>
      </c>
      <c r="E685">
        <v>5739638</v>
      </c>
    </row>
    <row r="686" spans="1:5" x14ac:dyDescent="0.3">
      <c r="A686" t="s">
        <v>98</v>
      </c>
      <c r="B686" t="s">
        <v>10</v>
      </c>
      <c r="C686">
        <v>10123883</v>
      </c>
      <c r="D686">
        <v>157959</v>
      </c>
      <c r="E686">
        <v>9101205</v>
      </c>
    </row>
    <row r="687" spans="1:5" x14ac:dyDescent="0.3">
      <c r="A687" t="s">
        <v>98</v>
      </c>
      <c r="B687" t="s">
        <v>11</v>
      </c>
      <c r="C687">
        <v>17633124</v>
      </c>
      <c r="D687">
        <v>424715</v>
      </c>
      <c r="E687">
        <v>15524400</v>
      </c>
    </row>
    <row r="688" spans="1:5" x14ac:dyDescent="0.3">
      <c r="A688" t="s">
        <v>98</v>
      </c>
      <c r="B688" t="s">
        <v>12</v>
      </c>
      <c r="C688">
        <v>15871224</v>
      </c>
      <c r="D688">
        <v>390984</v>
      </c>
      <c r="E688">
        <v>13739272</v>
      </c>
    </row>
    <row r="689" spans="1:5" x14ac:dyDescent="0.3">
      <c r="A689" t="s">
        <v>98</v>
      </c>
      <c r="B689" t="s">
        <v>13</v>
      </c>
      <c r="C689">
        <v>18908336</v>
      </c>
      <c r="D689">
        <v>326943</v>
      </c>
      <c r="E689">
        <v>13338858</v>
      </c>
    </row>
    <row r="690" spans="1:5" x14ac:dyDescent="0.3">
      <c r="A690" t="s">
        <v>99</v>
      </c>
      <c r="B690" t="s">
        <v>6</v>
      </c>
      <c r="C690">
        <v>18070711</v>
      </c>
      <c r="D690">
        <v>256831</v>
      </c>
      <c r="E690">
        <v>15039416</v>
      </c>
    </row>
    <row r="691" spans="1:5" x14ac:dyDescent="0.3">
      <c r="A691" t="s">
        <v>99</v>
      </c>
      <c r="B691" t="s">
        <v>7</v>
      </c>
      <c r="C691">
        <v>8998322</v>
      </c>
      <c r="D691">
        <v>157395</v>
      </c>
      <c r="E691">
        <v>7967260</v>
      </c>
    </row>
    <row r="692" spans="1:5" x14ac:dyDescent="0.3">
      <c r="A692" t="s">
        <v>99</v>
      </c>
      <c r="B692" t="s">
        <v>8</v>
      </c>
      <c r="C692">
        <v>7854642</v>
      </c>
      <c r="D692">
        <v>204570</v>
      </c>
      <c r="E692">
        <v>6976950</v>
      </c>
    </row>
    <row r="693" spans="1:5" x14ac:dyDescent="0.3">
      <c r="A693" t="s">
        <v>99</v>
      </c>
      <c r="B693" t="s">
        <v>9</v>
      </c>
      <c r="C693">
        <v>8043373</v>
      </c>
      <c r="D693">
        <v>111352</v>
      </c>
      <c r="E693">
        <v>5945749</v>
      </c>
    </row>
    <row r="694" spans="1:5" x14ac:dyDescent="0.3">
      <c r="A694" t="s">
        <v>99</v>
      </c>
      <c r="B694" t="s">
        <v>10</v>
      </c>
      <c r="C694">
        <v>10171763</v>
      </c>
      <c r="D694">
        <v>181346</v>
      </c>
      <c r="E694">
        <v>7183445</v>
      </c>
    </row>
    <row r="695" spans="1:5" x14ac:dyDescent="0.3">
      <c r="A695" t="s">
        <v>99</v>
      </c>
      <c r="B695" t="s">
        <v>11</v>
      </c>
      <c r="C695">
        <v>17647025</v>
      </c>
      <c r="D695">
        <v>428695</v>
      </c>
      <c r="E695">
        <v>14170654</v>
      </c>
    </row>
    <row r="696" spans="1:5" x14ac:dyDescent="0.3">
      <c r="A696" t="s">
        <v>99</v>
      </c>
      <c r="B696" t="s">
        <v>12</v>
      </c>
      <c r="C696">
        <v>15892741</v>
      </c>
      <c r="D696">
        <v>452571</v>
      </c>
      <c r="E696">
        <v>11128966</v>
      </c>
    </row>
    <row r="697" spans="1:5" x14ac:dyDescent="0.3">
      <c r="A697" t="s">
        <v>99</v>
      </c>
      <c r="B697" t="s">
        <v>13</v>
      </c>
      <c r="C697">
        <v>18926595</v>
      </c>
      <c r="D697">
        <v>265485</v>
      </c>
      <c r="E697">
        <v>14746125</v>
      </c>
    </row>
    <row r="698" spans="1:5" x14ac:dyDescent="0.3">
      <c r="A698" t="s">
        <v>100</v>
      </c>
      <c r="B698" t="s">
        <v>6</v>
      </c>
      <c r="C698">
        <v>18101610</v>
      </c>
      <c r="D698">
        <v>185546</v>
      </c>
      <c r="E698">
        <v>14551493</v>
      </c>
    </row>
    <row r="699" spans="1:5" x14ac:dyDescent="0.3">
      <c r="A699" t="s">
        <v>100</v>
      </c>
      <c r="B699" t="s">
        <v>7</v>
      </c>
      <c r="C699">
        <v>9033751</v>
      </c>
      <c r="D699">
        <v>242401</v>
      </c>
      <c r="E699">
        <v>7676749</v>
      </c>
    </row>
    <row r="700" spans="1:5" x14ac:dyDescent="0.3">
      <c r="A700" t="s">
        <v>100</v>
      </c>
      <c r="B700" t="s">
        <v>8</v>
      </c>
      <c r="C700">
        <v>7871842</v>
      </c>
      <c r="D700">
        <v>90853</v>
      </c>
      <c r="E700">
        <v>6327587</v>
      </c>
    </row>
    <row r="701" spans="1:5" x14ac:dyDescent="0.3">
      <c r="A701" t="s">
        <v>100</v>
      </c>
      <c r="B701" t="s">
        <v>9</v>
      </c>
      <c r="C701">
        <v>8070909</v>
      </c>
      <c r="D701">
        <v>194407</v>
      </c>
      <c r="E701">
        <v>6249825</v>
      </c>
    </row>
    <row r="702" spans="1:5" x14ac:dyDescent="0.3">
      <c r="A702" t="s">
        <v>100</v>
      </c>
      <c r="B702" t="s">
        <v>10</v>
      </c>
      <c r="C702">
        <v>10212198</v>
      </c>
      <c r="D702">
        <v>287284</v>
      </c>
      <c r="E702">
        <v>7568636</v>
      </c>
    </row>
    <row r="703" spans="1:5" x14ac:dyDescent="0.3">
      <c r="A703" t="s">
        <v>100</v>
      </c>
      <c r="B703" t="s">
        <v>11</v>
      </c>
      <c r="C703">
        <v>17655251</v>
      </c>
      <c r="D703">
        <v>220829</v>
      </c>
      <c r="E703">
        <v>15775958</v>
      </c>
    </row>
    <row r="704" spans="1:5" x14ac:dyDescent="0.3">
      <c r="A704" t="s">
        <v>100</v>
      </c>
      <c r="B704" t="s">
        <v>12</v>
      </c>
      <c r="C704">
        <v>15901662</v>
      </c>
      <c r="D704">
        <v>168331</v>
      </c>
      <c r="E704">
        <v>14179355</v>
      </c>
    </row>
    <row r="705" spans="1:5" x14ac:dyDescent="0.3">
      <c r="A705" t="s">
        <v>100</v>
      </c>
      <c r="B705" t="s">
        <v>13</v>
      </c>
      <c r="C705">
        <v>18928511</v>
      </c>
      <c r="D705">
        <v>519567</v>
      </c>
      <c r="E705">
        <v>16035227</v>
      </c>
    </row>
    <row r="706" spans="1:5" x14ac:dyDescent="0.3">
      <c r="A706" t="s">
        <v>101</v>
      </c>
      <c r="B706" t="s">
        <v>6</v>
      </c>
      <c r="C706">
        <v>18112746</v>
      </c>
      <c r="D706">
        <v>443142</v>
      </c>
      <c r="E706">
        <v>15630554</v>
      </c>
    </row>
    <row r="707" spans="1:5" x14ac:dyDescent="0.3">
      <c r="A707" t="s">
        <v>101</v>
      </c>
      <c r="B707" t="s">
        <v>7</v>
      </c>
      <c r="C707">
        <v>9077101</v>
      </c>
      <c r="D707">
        <v>260827</v>
      </c>
      <c r="E707">
        <v>6647432</v>
      </c>
    </row>
    <row r="708" spans="1:5" x14ac:dyDescent="0.3">
      <c r="A708" t="s">
        <v>101</v>
      </c>
      <c r="B708" t="s">
        <v>8</v>
      </c>
      <c r="C708">
        <v>7876330</v>
      </c>
      <c r="D708">
        <v>176857</v>
      </c>
      <c r="E708">
        <v>6749232</v>
      </c>
    </row>
    <row r="709" spans="1:5" x14ac:dyDescent="0.3">
      <c r="A709" t="s">
        <v>101</v>
      </c>
      <c r="B709" t="s">
        <v>9</v>
      </c>
      <c r="C709">
        <v>8080111</v>
      </c>
      <c r="D709">
        <v>97050</v>
      </c>
      <c r="E709">
        <v>6525989</v>
      </c>
    </row>
    <row r="710" spans="1:5" x14ac:dyDescent="0.3">
      <c r="A710" t="s">
        <v>101</v>
      </c>
      <c r="B710" t="s">
        <v>10</v>
      </c>
      <c r="C710">
        <v>10215007</v>
      </c>
      <c r="D710">
        <v>245884</v>
      </c>
      <c r="E710">
        <v>8192201</v>
      </c>
    </row>
    <row r="711" spans="1:5" x14ac:dyDescent="0.3">
      <c r="A711" t="s">
        <v>101</v>
      </c>
      <c r="B711" t="s">
        <v>11</v>
      </c>
      <c r="C711">
        <v>17685611</v>
      </c>
      <c r="D711">
        <v>224944</v>
      </c>
      <c r="E711">
        <v>14007730</v>
      </c>
    </row>
    <row r="712" spans="1:5" x14ac:dyDescent="0.3">
      <c r="A712" t="s">
        <v>101</v>
      </c>
      <c r="B712" t="s">
        <v>12</v>
      </c>
      <c r="C712">
        <v>15948711</v>
      </c>
      <c r="D712">
        <v>263957</v>
      </c>
      <c r="E712">
        <v>13385077</v>
      </c>
    </row>
    <row r="713" spans="1:5" x14ac:dyDescent="0.3">
      <c r="A713" t="s">
        <v>101</v>
      </c>
      <c r="B713" t="s">
        <v>13</v>
      </c>
      <c r="C713">
        <v>18946163</v>
      </c>
      <c r="D713">
        <v>309584</v>
      </c>
      <c r="E713">
        <v>16638994</v>
      </c>
    </row>
    <row r="714" spans="1:5" x14ac:dyDescent="0.3">
      <c r="A714" t="s">
        <v>102</v>
      </c>
      <c r="B714" t="s">
        <v>6</v>
      </c>
      <c r="C714">
        <v>18156890</v>
      </c>
      <c r="D714">
        <v>252065</v>
      </c>
      <c r="E714">
        <v>13324317</v>
      </c>
    </row>
    <row r="715" spans="1:5" x14ac:dyDescent="0.3">
      <c r="A715" t="s">
        <v>102</v>
      </c>
      <c r="B715" t="s">
        <v>7</v>
      </c>
      <c r="C715">
        <v>9088813</v>
      </c>
      <c r="D715">
        <v>100326</v>
      </c>
      <c r="E715">
        <v>7845098</v>
      </c>
    </row>
    <row r="716" spans="1:5" x14ac:dyDescent="0.3">
      <c r="A716" t="s">
        <v>102</v>
      </c>
      <c r="B716" t="s">
        <v>8</v>
      </c>
      <c r="C716">
        <v>7906834</v>
      </c>
      <c r="D716">
        <v>168214</v>
      </c>
      <c r="E716">
        <v>5748587</v>
      </c>
    </row>
    <row r="717" spans="1:5" x14ac:dyDescent="0.3">
      <c r="A717" t="s">
        <v>102</v>
      </c>
      <c r="B717" t="s">
        <v>9</v>
      </c>
      <c r="C717">
        <v>8107339</v>
      </c>
      <c r="D717">
        <v>224249</v>
      </c>
      <c r="E717">
        <v>6203031</v>
      </c>
    </row>
    <row r="718" spans="1:5" x14ac:dyDescent="0.3">
      <c r="A718" t="s">
        <v>102</v>
      </c>
      <c r="B718" t="s">
        <v>10</v>
      </c>
      <c r="C718">
        <v>10239746</v>
      </c>
      <c r="D718">
        <v>251315</v>
      </c>
      <c r="E718">
        <v>7421749</v>
      </c>
    </row>
    <row r="719" spans="1:5" x14ac:dyDescent="0.3">
      <c r="A719" t="s">
        <v>102</v>
      </c>
      <c r="B719" t="s">
        <v>11</v>
      </c>
      <c r="C719">
        <v>17708813</v>
      </c>
      <c r="D719">
        <v>530117</v>
      </c>
      <c r="E719">
        <v>14233210</v>
      </c>
    </row>
    <row r="720" spans="1:5" x14ac:dyDescent="0.3">
      <c r="A720" t="s">
        <v>102</v>
      </c>
      <c r="B720" t="s">
        <v>12</v>
      </c>
      <c r="C720">
        <v>15963081</v>
      </c>
      <c r="D720">
        <v>424443</v>
      </c>
      <c r="E720">
        <v>14145624</v>
      </c>
    </row>
    <row r="721" spans="1:5" x14ac:dyDescent="0.3">
      <c r="A721" t="s">
        <v>102</v>
      </c>
      <c r="B721" t="s">
        <v>13</v>
      </c>
      <c r="C721">
        <v>18976836</v>
      </c>
      <c r="D721">
        <v>207761</v>
      </c>
      <c r="E721">
        <v>16995883</v>
      </c>
    </row>
    <row r="722" spans="1:5" x14ac:dyDescent="0.3">
      <c r="A722" t="s">
        <v>103</v>
      </c>
      <c r="B722" t="s">
        <v>6</v>
      </c>
      <c r="C722">
        <v>18171055</v>
      </c>
      <c r="D722">
        <v>285200</v>
      </c>
      <c r="E722">
        <v>15738982</v>
      </c>
    </row>
    <row r="723" spans="1:5" x14ac:dyDescent="0.3">
      <c r="A723" t="s">
        <v>103</v>
      </c>
      <c r="B723" t="s">
        <v>7</v>
      </c>
      <c r="C723">
        <v>9129596</v>
      </c>
      <c r="D723">
        <v>149326</v>
      </c>
      <c r="E723">
        <v>6975142</v>
      </c>
    </row>
    <row r="724" spans="1:5" x14ac:dyDescent="0.3">
      <c r="A724" t="s">
        <v>103</v>
      </c>
      <c r="B724" t="s">
        <v>8</v>
      </c>
      <c r="C724">
        <v>7937554</v>
      </c>
      <c r="D724">
        <v>193272</v>
      </c>
      <c r="E724">
        <v>6372193</v>
      </c>
    </row>
    <row r="725" spans="1:5" x14ac:dyDescent="0.3">
      <c r="A725" t="s">
        <v>103</v>
      </c>
      <c r="B725" t="s">
        <v>9</v>
      </c>
      <c r="C725">
        <v>8113021</v>
      </c>
      <c r="D725">
        <v>98774</v>
      </c>
      <c r="E725">
        <v>6350887</v>
      </c>
    </row>
    <row r="726" spans="1:5" x14ac:dyDescent="0.3">
      <c r="A726" t="s">
        <v>103</v>
      </c>
      <c r="B726" t="s">
        <v>10</v>
      </c>
      <c r="C726">
        <v>10278802</v>
      </c>
      <c r="D726">
        <v>103024</v>
      </c>
      <c r="E726">
        <v>8935806</v>
      </c>
    </row>
    <row r="727" spans="1:5" x14ac:dyDescent="0.3">
      <c r="A727" t="s">
        <v>103</v>
      </c>
      <c r="B727" t="s">
        <v>11</v>
      </c>
      <c r="C727">
        <v>17758798</v>
      </c>
      <c r="D727">
        <v>356198</v>
      </c>
      <c r="E727">
        <v>15909699</v>
      </c>
    </row>
    <row r="728" spans="1:5" x14ac:dyDescent="0.3">
      <c r="A728" t="s">
        <v>103</v>
      </c>
      <c r="B728" t="s">
        <v>12</v>
      </c>
      <c r="C728">
        <v>15971650</v>
      </c>
      <c r="D728">
        <v>362972</v>
      </c>
      <c r="E728">
        <v>13814254</v>
      </c>
    </row>
    <row r="729" spans="1:5" x14ac:dyDescent="0.3">
      <c r="A729" t="s">
        <v>103</v>
      </c>
      <c r="B729" t="s">
        <v>13</v>
      </c>
      <c r="C729">
        <v>18995069</v>
      </c>
      <c r="D729">
        <v>208519</v>
      </c>
      <c r="E729">
        <v>14430865</v>
      </c>
    </row>
    <row r="730" spans="1:5" x14ac:dyDescent="0.3">
      <c r="A730" t="s">
        <v>104</v>
      </c>
      <c r="B730" t="s">
        <v>6</v>
      </c>
      <c r="C730">
        <v>18174599</v>
      </c>
      <c r="D730">
        <v>365746</v>
      </c>
      <c r="E730">
        <v>13046717</v>
      </c>
    </row>
    <row r="731" spans="1:5" x14ac:dyDescent="0.3">
      <c r="A731" t="s">
        <v>104</v>
      </c>
      <c r="B731" t="s">
        <v>7</v>
      </c>
      <c r="C731">
        <v>9165845</v>
      </c>
      <c r="D731">
        <v>180293</v>
      </c>
      <c r="E731">
        <v>7771775</v>
      </c>
    </row>
    <row r="732" spans="1:5" x14ac:dyDescent="0.3">
      <c r="A732" t="s">
        <v>104</v>
      </c>
      <c r="B732" t="s">
        <v>8</v>
      </c>
      <c r="C732">
        <v>7947186</v>
      </c>
      <c r="D732">
        <v>174441</v>
      </c>
      <c r="E732">
        <v>6192166</v>
      </c>
    </row>
    <row r="733" spans="1:5" x14ac:dyDescent="0.3">
      <c r="A733" t="s">
        <v>104</v>
      </c>
      <c r="B733" t="s">
        <v>9</v>
      </c>
      <c r="C733">
        <v>8127411</v>
      </c>
      <c r="D733">
        <v>228062</v>
      </c>
      <c r="E733">
        <v>5863685</v>
      </c>
    </row>
    <row r="734" spans="1:5" x14ac:dyDescent="0.3">
      <c r="A734" t="s">
        <v>104</v>
      </c>
      <c r="B734" t="s">
        <v>10</v>
      </c>
      <c r="C734">
        <v>10288470</v>
      </c>
      <c r="D734">
        <v>202435</v>
      </c>
      <c r="E734">
        <v>8825249</v>
      </c>
    </row>
    <row r="735" spans="1:5" x14ac:dyDescent="0.3">
      <c r="A735" t="s">
        <v>104</v>
      </c>
      <c r="B735" t="s">
        <v>11</v>
      </c>
      <c r="C735">
        <v>17778552</v>
      </c>
      <c r="D735">
        <v>199186</v>
      </c>
      <c r="E735">
        <v>13475099</v>
      </c>
    </row>
    <row r="736" spans="1:5" x14ac:dyDescent="0.3">
      <c r="A736" t="s">
        <v>104</v>
      </c>
      <c r="B736" t="s">
        <v>12</v>
      </c>
      <c r="C736">
        <v>15979516</v>
      </c>
      <c r="D736">
        <v>178481</v>
      </c>
      <c r="E736">
        <v>11703871</v>
      </c>
    </row>
    <row r="737" spans="1:5" x14ac:dyDescent="0.3">
      <c r="A737" t="s">
        <v>104</v>
      </c>
      <c r="B737" t="s">
        <v>13</v>
      </c>
      <c r="C737">
        <v>19022340</v>
      </c>
      <c r="D737">
        <v>520535</v>
      </c>
      <c r="E737">
        <v>15014424</v>
      </c>
    </row>
    <row r="738" spans="1:5" x14ac:dyDescent="0.3">
      <c r="A738" t="s">
        <v>105</v>
      </c>
      <c r="B738" t="s">
        <v>6</v>
      </c>
      <c r="C738">
        <v>18219044</v>
      </c>
      <c r="D738">
        <v>418781</v>
      </c>
      <c r="E738">
        <v>15446323</v>
      </c>
    </row>
    <row r="739" spans="1:5" x14ac:dyDescent="0.3">
      <c r="A739" t="s">
        <v>105</v>
      </c>
      <c r="B739" t="s">
        <v>7</v>
      </c>
      <c r="C739">
        <v>9189169</v>
      </c>
      <c r="D739">
        <v>146211</v>
      </c>
      <c r="E739">
        <v>7974091</v>
      </c>
    </row>
    <row r="740" spans="1:5" x14ac:dyDescent="0.3">
      <c r="A740" t="s">
        <v>105</v>
      </c>
      <c r="B740" t="s">
        <v>8</v>
      </c>
      <c r="C740">
        <v>7963419</v>
      </c>
      <c r="D740">
        <v>98238</v>
      </c>
      <c r="E740">
        <v>6265014</v>
      </c>
    </row>
    <row r="741" spans="1:5" x14ac:dyDescent="0.3">
      <c r="A741" t="s">
        <v>105</v>
      </c>
      <c r="B741" t="s">
        <v>9</v>
      </c>
      <c r="C741">
        <v>8134158</v>
      </c>
      <c r="D741">
        <v>129918</v>
      </c>
      <c r="E741">
        <v>7236384</v>
      </c>
    </row>
    <row r="742" spans="1:5" x14ac:dyDescent="0.3">
      <c r="A742" t="s">
        <v>105</v>
      </c>
      <c r="B742" t="s">
        <v>10</v>
      </c>
      <c r="C742">
        <v>10296235</v>
      </c>
      <c r="D742">
        <v>132405</v>
      </c>
      <c r="E742">
        <v>8557753</v>
      </c>
    </row>
    <row r="743" spans="1:5" x14ac:dyDescent="0.3">
      <c r="A743" t="s">
        <v>105</v>
      </c>
      <c r="B743" t="s">
        <v>11</v>
      </c>
      <c r="C743">
        <v>17802364</v>
      </c>
      <c r="D743">
        <v>443976</v>
      </c>
      <c r="E743">
        <v>14394520</v>
      </c>
    </row>
    <row r="744" spans="1:5" x14ac:dyDescent="0.3">
      <c r="A744" t="s">
        <v>105</v>
      </c>
      <c r="B744" t="s">
        <v>12</v>
      </c>
      <c r="C744">
        <v>16013205</v>
      </c>
      <c r="D744">
        <v>340196</v>
      </c>
      <c r="E744">
        <v>11387461</v>
      </c>
    </row>
    <row r="745" spans="1:5" x14ac:dyDescent="0.3">
      <c r="A745" t="s">
        <v>105</v>
      </c>
      <c r="B745" t="s">
        <v>13</v>
      </c>
      <c r="C745">
        <v>19043753</v>
      </c>
      <c r="D745">
        <v>562131</v>
      </c>
      <c r="E745">
        <v>16004772</v>
      </c>
    </row>
    <row r="746" spans="1:5" x14ac:dyDescent="0.3">
      <c r="A746" t="s">
        <v>106</v>
      </c>
      <c r="B746" t="s">
        <v>6</v>
      </c>
      <c r="C746">
        <v>18233223</v>
      </c>
      <c r="D746">
        <v>279704</v>
      </c>
      <c r="E746">
        <v>16336457</v>
      </c>
    </row>
    <row r="747" spans="1:5" x14ac:dyDescent="0.3">
      <c r="A747" t="s">
        <v>106</v>
      </c>
      <c r="B747" t="s">
        <v>7</v>
      </c>
      <c r="C747">
        <v>9211902</v>
      </c>
      <c r="D747">
        <v>253784</v>
      </c>
      <c r="E747">
        <v>7289027</v>
      </c>
    </row>
    <row r="748" spans="1:5" x14ac:dyDescent="0.3">
      <c r="A748" t="s">
        <v>106</v>
      </c>
      <c r="B748" t="s">
        <v>8</v>
      </c>
      <c r="C748">
        <v>7993281</v>
      </c>
      <c r="D748">
        <v>148740</v>
      </c>
      <c r="E748">
        <v>7018463</v>
      </c>
    </row>
    <row r="749" spans="1:5" x14ac:dyDescent="0.3">
      <c r="A749" t="s">
        <v>106</v>
      </c>
      <c r="B749" t="s">
        <v>9</v>
      </c>
      <c r="C749">
        <v>8146828</v>
      </c>
      <c r="D749">
        <v>112668</v>
      </c>
      <c r="E749">
        <v>6035808</v>
      </c>
    </row>
    <row r="750" spans="1:5" x14ac:dyDescent="0.3">
      <c r="A750" t="s">
        <v>106</v>
      </c>
      <c r="B750" t="s">
        <v>10</v>
      </c>
      <c r="C750">
        <v>10333152</v>
      </c>
      <c r="D750">
        <v>218831</v>
      </c>
      <c r="E750">
        <v>9225457</v>
      </c>
    </row>
    <row r="751" spans="1:5" x14ac:dyDescent="0.3">
      <c r="A751" t="s">
        <v>106</v>
      </c>
      <c r="B751" t="s">
        <v>11</v>
      </c>
      <c r="C751">
        <v>17837489</v>
      </c>
      <c r="D751">
        <v>341543</v>
      </c>
      <c r="E751">
        <v>15891535</v>
      </c>
    </row>
    <row r="752" spans="1:5" x14ac:dyDescent="0.3">
      <c r="A752" t="s">
        <v>106</v>
      </c>
      <c r="B752" t="s">
        <v>12</v>
      </c>
      <c r="C752">
        <v>16055459</v>
      </c>
      <c r="D752">
        <v>301087</v>
      </c>
      <c r="E752">
        <v>13650616</v>
      </c>
    </row>
    <row r="753" spans="1:5" x14ac:dyDescent="0.3">
      <c r="A753" t="s">
        <v>106</v>
      </c>
      <c r="B753" t="s">
        <v>13</v>
      </c>
      <c r="C753">
        <v>19048378</v>
      </c>
      <c r="D753">
        <v>412954</v>
      </c>
      <c r="E753">
        <v>15601342</v>
      </c>
    </row>
    <row r="754" spans="1:5" x14ac:dyDescent="0.3">
      <c r="A754" t="s">
        <v>107</v>
      </c>
      <c r="B754" t="s">
        <v>6</v>
      </c>
      <c r="C754">
        <v>18236864</v>
      </c>
      <c r="D754">
        <v>274621</v>
      </c>
      <c r="E754">
        <v>16184696</v>
      </c>
    </row>
    <row r="755" spans="1:5" x14ac:dyDescent="0.3">
      <c r="A755" t="s">
        <v>107</v>
      </c>
      <c r="B755" t="s">
        <v>7</v>
      </c>
      <c r="C755">
        <v>9254018</v>
      </c>
      <c r="D755">
        <v>140322</v>
      </c>
      <c r="E755">
        <v>6539732</v>
      </c>
    </row>
    <row r="756" spans="1:5" x14ac:dyDescent="0.3">
      <c r="A756" t="s">
        <v>107</v>
      </c>
      <c r="B756" t="s">
        <v>8</v>
      </c>
      <c r="C756">
        <v>8004668</v>
      </c>
      <c r="D756">
        <v>90537</v>
      </c>
      <c r="E756">
        <v>5616709</v>
      </c>
    </row>
    <row r="757" spans="1:5" x14ac:dyDescent="0.3">
      <c r="A757" t="s">
        <v>107</v>
      </c>
      <c r="B757" t="s">
        <v>9</v>
      </c>
      <c r="C757">
        <v>8163598</v>
      </c>
      <c r="D757">
        <v>194809</v>
      </c>
      <c r="E757">
        <v>6973800</v>
      </c>
    </row>
    <row r="758" spans="1:5" x14ac:dyDescent="0.3">
      <c r="A758" t="s">
        <v>107</v>
      </c>
      <c r="B758" t="s">
        <v>10</v>
      </c>
      <c r="C758">
        <v>10334287</v>
      </c>
      <c r="D758">
        <v>124556</v>
      </c>
      <c r="E758">
        <v>8379051</v>
      </c>
    </row>
    <row r="759" spans="1:5" x14ac:dyDescent="0.3">
      <c r="A759" t="s">
        <v>107</v>
      </c>
      <c r="B759" t="s">
        <v>11</v>
      </c>
      <c r="C759">
        <v>17862744</v>
      </c>
      <c r="D759">
        <v>505578</v>
      </c>
      <c r="E759">
        <v>12868905</v>
      </c>
    </row>
    <row r="760" spans="1:5" x14ac:dyDescent="0.3">
      <c r="A760" t="s">
        <v>107</v>
      </c>
      <c r="B760" t="s">
        <v>12</v>
      </c>
      <c r="C760">
        <v>16098273</v>
      </c>
      <c r="D760">
        <v>182384</v>
      </c>
      <c r="E760">
        <v>12046030</v>
      </c>
    </row>
    <row r="761" spans="1:5" x14ac:dyDescent="0.3">
      <c r="A761" t="s">
        <v>107</v>
      </c>
      <c r="B761" t="s">
        <v>13</v>
      </c>
      <c r="C761">
        <v>19098037</v>
      </c>
      <c r="D761">
        <v>480101</v>
      </c>
      <c r="E761">
        <v>14663719</v>
      </c>
    </row>
    <row r="762" spans="1:5" x14ac:dyDescent="0.3">
      <c r="A762" t="s">
        <v>108</v>
      </c>
      <c r="B762" t="s">
        <v>6</v>
      </c>
      <c r="C762">
        <v>18284331</v>
      </c>
      <c r="D762">
        <v>322488</v>
      </c>
      <c r="E762">
        <v>13209876</v>
      </c>
    </row>
    <row r="763" spans="1:5" x14ac:dyDescent="0.3">
      <c r="A763" t="s">
        <v>108</v>
      </c>
      <c r="B763" t="s">
        <v>7</v>
      </c>
      <c r="C763">
        <v>9290041</v>
      </c>
      <c r="D763">
        <v>174021</v>
      </c>
      <c r="E763">
        <v>7112187</v>
      </c>
    </row>
    <row r="764" spans="1:5" x14ac:dyDescent="0.3">
      <c r="A764" t="s">
        <v>108</v>
      </c>
      <c r="B764" t="s">
        <v>8</v>
      </c>
      <c r="C764">
        <v>8045906</v>
      </c>
      <c r="D764">
        <v>110998</v>
      </c>
      <c r="E764">
        <v>6570683</v>
      </c>
    </row>
    <row r="765" spans="1:5" x14ac:dyDescent="0.3">
      <c r="A765" t="s">
        <v>108</v>
      </c>
      <c r="B765" t="s">
        <v>9</v>
      </c>
      <c r="C765">
        <v>8169869</v>
      </c>
      <c r="D765">
        <v>235474</v>
      </c>
      <c r="E765">
        <v>7314393</v>
      </c>
    </row>
    <row r="766" spans="1:5" x14ac:dyDescent="0.3">
      <c r="A766" t="s">
        <v>108</v>
      </c>
      <c r="B766" t="s">
        <v>10</v>
      </c>
      <c r="C766">
        <v>10335350</v>
      </c>
      <c r="D766">
        <v>283681</v>
      </c>
      <c r="E766">
        <v>7958995</v>
      </c>
    </row>
    <row r="767" spans="1:5" x14ac:dyDescent="0.3">
      <c r="A767" t="s">
        <v>108</v>
      </c>
      <c r="B767" t="s">
        <v>11</v>
      </c>
      <c r="C767">
        <v>17875438</v>
      </c>
      <c r="D767">
        <v>206948</v>
      </c>
      <c r="E767">
        <v>13299637</v>
      </c>
    </row>
    <row r="768" spans="1:5" x14ac:dyDescent="0.3">
      <c r="A768" t="s">
        <v>108</v>
      </c>
      <c r="B768" t="s">
        <v>12</v>
      </c>
      <c r="C768">
        <v>16114345</v>
      </c>
      <c r="D768">
        <v>432669</v>
      </c>
      <c r="E768">
        <v>11718672</v>
      </c>
    </row>
    <row r="769" spans="1:5" x14ac:dyDescent="0.3">
      <c r="A769" t="s">
        <v>108</v>
      </c>
      <c r="B769" t="s">
        <v>13</v>
      </c>
      <c r="C769">
        <v>19141315</v>
      </c>
      <c r="D769">
        <v>290396</v>
      </c>
      <c r="E769">
        <v>14884485</v>
      </c>
    </row>
    <row r="770" spans="1:5" x14ac:dyDescent="0.3">
      <c r="A770" t="s">
        <v>109</v>
      </c>
      <c r="B770" t="s">
        <v>6</v>
      </c>
      <c r="C770">
        <v>18287773</v>
      </c>
      <c r="D770">
        <v>244205</v>
      </c>
      <c r="E770">
        <v>13082235</v>
      </c>
    </row>
    <row r="771" spans="1:5" x14ac:dyDescent="0.3">
      <c r="A771" t="s">
        <v>109</v>
      </c>
      <c r="B771" t="s">
        <v>7</v>
      </c>
      <c r="C771">
        <v>9293280</v>
      </c>
      <c r="D771">
        <v>258124</v>
      </c>
      <c r="E771">
        <v>7292070</v>
      </c>
    </row>
    <row r="772" spans="1:5" x14ac:dyDescent="0.3">
      <c r="A772" t="s">
        <v>109</v>
      </c>
      <c r="B772" t="s">
        <v>8</v>
      </c>
      <c r="C772">
        <v>8063415</v>
      </c>
      <c r="D772">
        <v>187805</v>
      </c>
      <c r="E772">
        <v>5673864</v>
      </c>
    </row>
    <row r="773" spans="1:5" x14ac:dyDescent="0.3">
      <c r="A773" t="s">
        <v>109</v>
      </c>
      <c r="B773" t="s">
        <v>9</v>
      </c>
      <c r="C773">
        <v>8215662</v>
      </c>
      <c r="D773">
        <v>177762</v>
      </c>
      <c r="E773">
        <v>6373142</v>
      </c>
    </row>
    <row r="774" spans="1:5" x14ac:dyDescent="0.3">
      <c r="A774" t="s">
        <v>109</v>
      </c>
      <c r="B774" t="s">
        <v>10</v>
      </c>
      <c r="C774">
        <v>10338827</v>
      </c>
      <c r="D774">
        <v>204800</v>
      </c>
      <c r="E774">
        <v>9084642</v>
      </c>
    </row>
    <row r="775" spans="1:5" x14ac:dyDescent="0.3">
      <c r="A775" t="s">
        <v>109</v>
      </c>
      <c r="B775" t="s">
        <v>11</v>
      </c>
      <c r="C775">
        <v>17916914</v>
      </c>
      <c r="D775">
        <v>512496</v>
      </c>
      <c r="E775">
        <v>15611927</v>
      </c>
    </row>
    <row r="776" spans="1:5" x14ac:dyDescent="0.3">
      <c r="A776" t="s">
        <v>109</v>
      </c>
      <c r="B776" t="s">
        <v>12</v>
      </c>
      <c r="C776">
        <v>16144704</v>
      </c>
      <c r="D776">
        <v>327564</v>
      </c>
      <c r="E776">
        <v>14025512</v>
      </c>
    </row>
    <row r="777" spans="1:5" x14ac:dyDescent="0.3">
      <c r="A777" t="s">
        <v>109</v>
      </c>
      <c r="B777" t="s">
        <v>13</v>
      </c>
      <c r="C777">
        <v>19159639</v>
      </c>
      <c r="D777">
        <v>204277</v>
      </c>
      <c r="E777">
        <v>15591227</v>
      </c>
    </row>
    <row r="778" spans="1:5" x14ac:dyDescent="0.3">
      <c r="A778" t="s">
        <v>110</v>
      </c>
      <c r="B778" t="s">
        <v>6</v>
      </c>
      <c r="C778">
        <v>18297555</v>
      </c>
      <c r="D778">
        <v>193671</v>
      </c>
      <c r="E778">
        <v>12936039</v>
      </c>
    </row>
    <row r="779" spans="1:5" x14ac:dyDescent="0.3">
      <c r="A779" t="s">
        <v>110</v>
      </c>
      <c r="B779" t="s">
        <v>7</v>
      </c>
      <c r="C779">
        <v>9311225</v>
      </c>
      <c r="D779">
        <v>122520</v>
      </c>
      <c r="E779">
        <v>6784924</v>
      </c>
    </row>
    <row r="780" spans="1:5" x14ac:dyDescent="0.3">
      <c r="A780" t="s">
        <v>110</v>
      </c>
      <c r="B780" t="s">
        <v>8</v>
      </c>
      <c r="C780">
        <v>8087383</v>
      </c>
      <c r="D780">
        <v>195245</v>
      </c>
      <c r="E780">
        <v>6720233</v>
      </c>
    </row>
    <row r="781" spans="1:5" x14ac:dyDescent="0.3">
      <c r="A781" t="s">
        <v>110</v>
      </c>
      <c r="B781" t="s">
        <v>9</v>
      </c>
      <c r="C781">
        <v>8219331</v>
      </c>
      <c r="D781">
        <v>129016</v>
      </c>
      <c r="E781">
        <v>6319150</v>
      </c>
    </row>
    <row r="782" spans="1:5" x14ac:dyDescent="0.3">
      <c r="A782" t="s">
        <v>110</v>
      </c>
      <c r="B782" t="s">
        <v>10</v>
      </c>
      <c r="C782">
        <v>10370750</v>
      </c>
      <c r="D782">
        <v>230796</v>
      </c>
      <c r="E782">
        <v>9113442</v>
      </c>
    </row>
    <row r="783" spans="1:5" x14ac:dyDescent="0.3">
      <c r="A783" t="s">
        <v>110</v>
      </c>
      <c r="B783" t="s">
        <v>11</v>
      </c>
      <c r="C783">
        <v>17935196</v>
      </c>
      <c r="D783">
        <v>320489</v>
      </c>
      <c r="E783">
        <v>15490029</v>
      </c>
    </row>
    <row r="784" spans="1:5" x14ac:dyDescent="0.3">
      <c r="A784" t="s">
        <v>110</v>
      </c>
      <c r="B784" t="s">
        <v>12</v>
      </c>
      <c r="C784">
        <v>16173502</v>
      </c>
      <c r="D784">
        <v>269250</v>
      </c>
      <c r="E784">
        <v>12452895</v>
      </c>
    </row>
    <row r="785" spans="1:5" x14ac:dyDescent="0.3">
      <c r="A785" t="s">
        <v>110</v>
      </c>
      <c r="B785" t="s">
        <v>13</v>
      </c>
      <c r="C785">
        <v>19205866</v>
      </c>
      <c r="D785">
        <v>215579</v>
      </c>
      <c r="E785">
        <v>16776004</v>
      </c>
    </row>
    <row r="786" spans="1:5" x14ac:dyDescent="0.3">
      <c r="A786" t="s">
        <v>111</v>
      </c>
      <c r="B786" t="s">
        <v>6</v>
      </c>
      <c r="C786">
        <v>18325709</v>
      </c>
      <c r="D786">
        <v>255164</v>
      </c>
      <c r="E786">
        <v>15372729</v>
      </c>
    </row>
    <row r="787" spans="1:5" x14ac:dyDescent="0.3">
      <c r="A787" t="s">
        <v>111</v>
      </c>
      <c r="B787" t="s">
        <v>7</v>
      </c>
      <c r="C787">
        <v>9341985</v>
      </c>
      <c r="D787">
        <v>197287</v>
      </c>
      <c r="E787">
        <v>8150126</v>
      </c>
    </row>
    <row r="788" spans="1:5" x14ac:dyDescent="0.3">
      <c r="A788" t="s">
        <v>111</v>
      </c>
      <c r="B788" t="s">
        <v>8</v>
      </c>
      <c r="C788">
        <v>8126669</v>
      </c>
      <c r="D788">
        <v>215786</v>
      </c>
      <c r="E788">
        <v>6070339</v>
      </c>
    </row>
    <row r="789" spans="1:5" x14ac:dyDescent="0.3">
      <c r="A789" t="s">
        <v>111</v>
      </c>
      <c r="B789" t="s">
        <v>9</v>
      </c>
      <c r="C789">
        <v>8228479</v>
      </c>
      <c r="D789">
        <v>204385</v>
      </c>
      <c r="E789">
        <v>6596479</v>
      </c>
    </row>
    <row r="790" spans="1:5" x14ac:dyDescent="0.3">
      <c r="A790" t="s">
        <v>111</v>
      </c>
      <c r="B790" t="s">
        <v>10</v>
      </c>
      <c r="C790">
        <v>10372291</v>
      </c>
      <c r="D790">
        <v>108095</v>
      </c>
      <c r="E790">
        <v>9091137</v>
      </c>
    </row>
    <row r="791" spans="1:5" x14ac:dyDescent="0.3">
      <c r="A791" t="s">
        <v>111</v>
      </c>
      <c r="B791" t="s">
        <v>11</v>
      </c>
      <c r="C791">
        <v>17964952</v>
      </c>
      <c r="D791">
        <v>459371</v>
      </c>
      <c r="E791">
        <v>15451769</v>
      </c>
    </row>
    <row r="792" spans="1:5" x14ac:dyDescent="0.3">
      <c r="A792" t="s">
        <v>111</v>
      </c>
      <c r="B792" t="s">
        <v>12</v>
      </c>
      <c r="C792">
        <v>16214868</v>
      </c>
      <c r="D792">
        <v>268316</v>
      </c>
      <c r="E792">
        <v>12419962</v>
      </c>
    </row>
    <row r="793" spans="1:5" x14ac:dyDescent="0.3">
      <c r="A793" t="s">
        <v>111</v>
      </c>
      <c r="B793" t="s">
        <v>13</v>
      </c>
      <c r="C793">
        <v>19222904</v>
      </c>
      <c r="D793">
        <v>346640</v>
      </c>
      <c r="E793">
        <v>15477675</v>
      </c>
    </row>
    <row r="794" spans="1:5" x14ac:dyDescent="0.3">
      <c r="A794" t="s">
        <v>112</v>
      </c>
      <c r="B794" t="s">
        <v>6</v>
      </c>
      <c r="C794">
        <v>18345934</v>
      </c>
      <c r="D794">
        <v>218050</v>
      </c>
      <c r="E794">
        <v>14020987</v>
      </c>
    </row>
    <row r="795" spans="1:5" x14ac:dyDescent="0.3">
      <c r="A795" t="s">
        <v>112</v>
      </c>
      <c r="B795" t="s">
        <v>7</v>
      </c>
      <c r="C795">
        <v>9345685</v>
      </c>
      <c r="D795">
        <v>160197</v>
      </c>
      <c r="E795">
        <v>8303808</v>
      </c>
    </row>
    <row r="796" spans="1:5" x14ac:dyDescent="0.3">
      <c r="A796" t="s">
        <v>112</v>
      </c>
      <c r="B796" t="s">
        <v>8</v>
      </c>
      <c r="C796">
        <v>8129586</v>
      </c>
      <c r="D796">
        <v>138912</v>
      </c>
      <c r="E796">
        <v>7101213</v>
      </c>
    </row>
    <row r="797" spans="1:5" x14ac:dyDescent="0.3">
      <c r="A797" t="s">
        <v>112</v>
      </c>
      <c r="B797" t="s">
        <v>9</v>
      </c>
      <c r="C797">
        <v>8250790</v>
      </c>
      <c r="D797">
        <v>159000</v>
      </c>
      <c r="E797">
        <v>7231554</v>
      </c>
    </row>
    <row r="798" spans="1:5" x14ac:dyDescent="0.3">
      <c r="A798" t="s">
        <v>112</v>
      </c>
      <c r="B798" t="s">
        <v>10</v>
      </c>
      <c r="C798">
        <v>10373407</v>
      </c>
      <c r="D798">
        <v>232433</v>
      </c>
      <c r="E798">
        <v>8689255</v>
      </c>
    </row>
    <row r="799" spans="1:5" x14ac:dyDescent="0.3">
      <c r="A799" t="s">
        <v>112</v>
      </c>
      <c r="B799" t="s">
        <v>11</v>
      </c>
      <c r="C799">
        <v>17992805</v>
      </c>
      <c r="D799">
        <v>470889</v>
      </c>
      <c r="E799">
        <v>14829122</v>
      </c>
    </row>
    <row r="800" spans="1:5" x14ac:dyDescent="0.3">
      <c r="A800" t="s">
        <v>112</v>
      </c>
      <c r="B800" t="s">
        <v>12</v>
      </c>
      <c r="C800">
        <v>16245903</v>
      </c>
      <c r="D800">
        <v>487048</v>
      </c>
      <c r="E800">
        <v>12068934</v>
      </c>
    </row>
    <row r="801" spans="1:5" x14ac:dyDescent="0.3">
      <c r="A801" t="s">
        <v>112</v>
      </c>
      <c r="B801" t="s">
        <v>13</v>
      </c>
      <c r="C801">
        <v>19229525</v>
      </c>
      <c r="D801">
        <v>470359</v>
      </c>
      <c r="E801">
        <v>13637916</v>
      </c>
    </row>
    <row r="802" spans="1:5" x14ac:dyDescent="0.3">
      <c r="A802" t="s">
        <v>113</v>
      </c>
      <c r="B802" t="s">
        <v>6</v>
      </c>
      <c r="C802">
        <v>18361126</v>
      </c>
      <c r="D802">
        <v>498682</v>
      </c>
      <c r="E802">
        <v>15147511</v>
      </c>
    </row>
    <row r="803" spans="1:5" x14ac:dyDescent="0.3">
      <c r="A803" t="s">
        <v>113</v>
      </c>
      <c r="B803" t="s">
        <v>7</v>
      </c>
      <c r="C803">
        <v>9354534</v>
      </c>
      <c r="D803">
        <v>122161</v>
      </c>
      <c r="E803">
        <v>7105926</v>
      </c>
    </row>
    <row r="804" spans="1:5" x14ac:dyDescent="0.3">
      <c r="A804" t="s">
        <v>113</v>
      </c>
      <c r="B804" t="s">
        <v>8</v>
      </c>
      <c r="C804">
        <v>8134292</v>
      </c>
      <c r="D804">
        <v>167393</v>
      </c>
      <c r="E804">
        <v>7150359</v>
      </c>
    </row>
    <row r="805" spans="1:5" x14ac:dyDescent="0.3">
      <c r="A805" t="s">
        <v>113</v>
      </c>
      <c r="B805" t="s">
        <v>9</v>
      </c>
      <c r="C805">
        <v>8257634</v>
      </c>
      <c r="D805">
        <v>182568</v>
      </c>
      <c r="E805">
        <v>6798264</v>
      </c>
    </row>
    <row r="806" spans="1:5" x14ac:dyDescent="0.3">
      <c r="A806" t="s">
        <v>113</v>
      </c>
      <c r="B806" t="s">
        <v>10</v>
      </c>
      <c r="C806">
        <v>10417683</v>
      </c>
      <c r="D806">
        <v>143784</v>
      </c>
      <c r="E806">
        <v>7621938</v>
      </c>
    </row>
    <row r="807" spans="1:5" x14ac:dyDescent="0.3">
      <c r="A807" t="s">
        <v>113</v>
      </c>
      <c r="B807" t="s">
        <v>11</v>
      </c>
      <c r="C807">
        <v>18016212</v>
      </c>
      <c r="D807">
        <v>234209</v>
      </c>
      <c r="E807">
        <v>15289411</v>
      </c>
    </row>
    <row r="808" spans="1:5" x14ac:dyDescent="0.3">
      <c r="A808" t="s">
        <v>113</v>
      </c>
      <c r="B808" t="s">
        <v>12</v>
      </c>
      <c r="C808">
        <v>16276858</v>
      </c>
      <c r="D808">
        <v>212403</v>
      </c>
      <c r="E808">
        <v>12184777</v>
      </c>
    </row>
    <row r="809" spans="1:5" x14ac:dyDescent="0.3">
      <c r="A809" t="s">
        <v>113</v>
      </c>
      <c r="B809" t="s">
        <v>13</v>
      </c>
      <c r="C809">
        <v>19253089</v>
      </c>
      <c r="D809">
        <v>304752</v>
      </c>
      <c r="E809">
        <v>14213940</v>
      </c>
    </row>
    <row r="810" spans="1:5" x14ac:dyDescent="0.3">
      <c r="A810" t="s">
        <v>114</v>
      </c>
      <c r="B810" t="s">
        <v>6</v>
      </c>
      <c r="C810">
        <v>18377510</v>
      </c>
      <c r="D810">
        <v>198718</v>
      </c>
      <c r="E810">
        <v>13439218</v>
      </c>
    </row>
    <row r="811" spans="1:5" x14ac:dyDescent="0.3">
      <c r="A811" t="s">
        <v>114</v>
      </c>
      <c r="B811" t="s">
        <v>7</v>
      </c>
      <c r="C811">
        <v>9359921</v>
      </c>
      <c r="D811">
        <v>239622</v>
      </c>
      <c r="E811">
        <v>6928342</v>
      </c>
    </row>
    <row r="812" spans="1:5" x14ac:dyDescent="0.3">
      <c r="A812" t="s">
        <v>114</v>
      </c>
      <c r="B812" t="s">
        <v>8</v>
      </c>
      <c r="C812">
        <v>8172964</v>
      </c>
      <c r="D812">
        <v>93480</v>
      </c>
      <c r="E812">
        <v>6355000</v>
      </c>
    </row>
    <row r="813" spans="1:5" x14ac:dyDescent="0.3">
      <c r="A813" t="s">
        <v>114</v>
      </c>
      <c r="B813" t="s">
        <v>9</v>
      </c>
      <c r="C813">
        <v>8285128</v>
      </c>
      <c r="D813">
        <v>112812</v>
      </c>
      <c r="E813">
        <v>7277450</v>
      </c>
    </row>
    <row r="814" spans="1:5" x14ac:dyDescent="0.3">
      <c r="A814" t="s">
        <v>114</v>
      </c>
      <c r="B814" t="s">
        <v>10</v>
      </c>
      <c r="C814">
        <v>10449170</v>
      </c>
      <c r="D814">
        <v>115228</v>
      </c>
      <c r="E814">
        <v>7549045</v>
      </c>
    </row>
    <row r="815" spans="1:5" x14ac:dyDescent="0.3">
      <c r="A815" t="s">
        <v>114</v>
      </c>
      <c r="B815" t="s">
        <v>11</v>
      </c>
      <c r="C815">
        <v>18034708</v>
      </c>
      <c r="D815">
        <v>406883</v>
      </c>
      <c r="E815">
        <v>13733268</v>
      </c>
    </row>
    <row r="816" spans="1:5" x14ac:dyDescent="0.3">
      <c r="A816" t="s">
        <v>114</v>
      </c>
      <c r="B816" t="s">
        <v>12</v>
      </c>
      <c r="C816">
        <v>16316630</v>
      </c>
      <c r="D816">
        <v>197924</v>
      </c>
      <c r="E816">
        <v>11912520</v>
      </c>
    </row>
    <row r="817" spans="1:5" x14ac:dyDescent="0.3">
      <c r="A817" t="s">
        <v>114</v>
      </c>
      <c r="B817" t="s">
        <v>13</v>
      </c>
      <c r="C817">
        <v>19302891</v>
      </c>
      <c r="D817">
        <v>539475</v>
      </c>
      <c r="E817">
        <v>15044717</v>
      </c>
    </row>
    <row r="818" spans="1:5" x14ac:dyDescent="0.3">
      <c r="A818" t="s">
        <v>115</v>
      </c>
      <c r="B818" t="s">
        <v>6</v>
      </c>
      <c r="C818">
        <v>18408943</v>
      </c>
      <c r="D818">
        <v>186850</v>
      </c>
      <c r="E818">
        <v>14919692</v>
      </c>
    </row>
    <row r="819" spans="1:5" x14ac:dyDescent="0.3">
      <c r="A819" t="s">
        <v>115</v>
      </c>
      <c r="B819" t="s">
        <v>7</v>
      </c>
      <c r="C819">
        <v>9406990</v>
      </c>
      <c r="D819">
        <v>121696</v>
      </c>
      <c r="E819">
        <v>6674365</v>
      </c>
    </row>
    <row r="820" spans="1:5" x14ac:dyDescent="0.3">
      <c r="A820" t="s">
        <v>115</v>
      </c>
      <c r="B820" t="s">
        <v>8</v>
      </c>
      <c r="C820">
        <v>8222400</v>
      </c>
      <c r="D820">
        <v>111516</v>
      </c>
      <c r="E820">
        <v>6236575</v>
      </c>
    </row>
    <row r="821" spans="1:5" x14ac:dyDescent="0.3">
      <c r="A821" t="s">
        <v>115</v>
      </c>
      <c r="B821" t="s">
        <v>9</v>
      </c>
      <c r="C821">
        <v>8311443</v>
      </c>
      <c r="D821">
        <v>140836</v>
      </c>
      <c r="E821">
        <v>6303786</v>
      </c>
    </row>
    <row r="822" spans="1:5" x14ac:dyDescent="0.3">
      <c r="A822" t="s">
        <v>115</v>
      </c>
      <c r="B822" t="s">
        <v>10</v>
      </c>
      <c r="C822">
        <v>10479176</v>
      </c>
      <c r="D822">
        <v>289513</v>
      </c>
      <c r="E822">
        <v>9349029</v>
      </c>
    </row>
    <row r="823" spans="1:5" x14ac:dyDescent="0.3">
      <c r="A823" t="s">
        <v>115</v>
      </c>
      <c r="B823" t="s">
        <v>11</v>
      </c>
      <c r="C823">
        <v>18051082</v>
      </c>
      <c r="D823">
        <v>498382</v>
      </c>
      <c r="E823">
        <v>13508707</v>
      </c>
    </row>
    <row r="824" spans="1:5" x14ac:dyDescent="0.3">
      <c r="A824" t="s">
        <v>115</v>
      </c>
      <c r="B824" t="s">
        <v>12</v>
      </c>
      <c r="C824">
        <v>16319511</v>
      </c>
      <c r="D824">
        <v>330439</v>
      </c>
      <c r="E824">
        <v>13338044</v>
      </c>
    </row>
    <row r="825" spans="1:5" x14ac:dyDescent="0.3">
      <c r="A825" t="s">
        <v>115</v>
      </c>
      <c r="B825" t="s">
        <v>13</v>
      </c>
      <c r="C825">
        <v>19310156</v>
      </c>
      <c r="D825">
        <v>236741</v>
      </c>
      <c r="E825">
        <v>14711478</v>
      </c>
    </row>
    <row r="826" spans="1:5" x14ac:dyDescent="0.3">
      <c r="A826" t="s">
        <v>116</v>
      </c>
      <c r="B826" t="s">
        <v>6</v>
      </c>
      <c r="C826">
        <v>18430526</v>
      </c>
      <c r="D826">
        <v>269921</v>
      </c>
      <c r="E826">
        <v>13725607</v>
      </c>
    </row>
    <row r="827" spans="1:5" x14ac:dyDescent="0.3">
      <c r="A827" t="s">
        <v>116</v>
      </c>
      <c r="B827" t="s">
        <v>7</v>
      </c>
      <c r="C827">
        <v>9455326</v>
      </c>
      <c r="D827">
        <v>133723</v>
      </c>
      <c r="E827">
        <v>7868598</v>
      </c>
    </row>
    <row r="828" spans="1:5" x14ac:dyDescent="0.3">
      <c r="A828" t="s">
        <v>116</v>
      </c>
      <c r="B828" t="s">
        <v>8</v>
      </c>
      <c r="C828">
        <v>8241752</v>
      </c>
      <c r="D828">
        <v>217412</v>
      </c>
      <c r="E828">
        <v>6483999</v>
      </c>
    </row>
    <row r="829" spans="1:5" x14ac:dyDescent="0.3">
      <c r="A829" t="s">
        <v>116</v>
      </c>
      <c r="B829" t="s">
        <v>9</v>
      </c>
      <c r="C829">
        <v>8317646</v>
      </c>
      <c r="D829">
        <v>149894</v>
      </c>
      <c r="E829">
        <v>6935328</v>
      </c>
    </row>
    <row r="830" spans="1:5" x14ac:dyDescent="0.3">
      <c r="A830" t="s">
        <v>116</v>
      </c>
      <c r="B830" t="s">
        <v>10</v>
      </c>
      <c r="C830">
        <v>10513772</v>
      </c>
      <c r="D830">
        <v>148893</v>
      </c>
      <c r="E830">
        <v>7387620</v>
      </c>
    </row>
    <row r="831" spans="1:5" x14ac:dyDescent="0.3">
      <c r="A831" t="s">
        <v>116</v>
      </c>
      <c r="B831" t="s">
        <v>11</v>
      </c>
      <c r="C831">
        <v>18070404</v>
      </c>
      <c r="D831">
        <v>441093</v>
      </c>
      <c r="E831">
        <v>13697139</v>
      </c>
    </row>
    <row r="832" spans="1:5" x14ac:dyDescent="0.3">
      <c r="A832" t="s">
        <v>116</v>
      </c>
      <c r="B832" t="s">
        <v>12</v>
      </c>
      <c r="C832">
        <v>16340558</v>
      </c>
      <c r="D832">
        <v>271381</v>
      </c>
      <c r="E832">
        <v>13340372</v>
      </c>
    </row>
    <row r="833" spans="1:5" x14ac:dyDescent="0.3">
      <c r="A833" t="s">
        <v>116</v>
      </c>
      <c r="B833" t="s">
        <v>13</v>
      </c>
      <c r="C833">
        <v>19356246</v>
      </c>
      <c r="D833">
        <v>303142</v>
      </c>
      <c r="E833">
        <v>15744764</v>
      </c>
    </row>
    <row r="834" spans="1:5" x14ac:dyDescent="0.3">
      <c r="A834" t="s">
        <v>117</v>
      </c>
      <c r="B834" t="s">
        <v>6</v>
      </c>
      <c r="C834">
        <v>18465516</v>
      </c>
      <c r="D834">
        <v>413794</v>
      </c>
      <c r="E834">
        <v>16020570</v>
      </c>
    </row>
    <row r="835" spans="1:5" x14ac:dyDescent="0.3">
      <c r="A835" t="s">
        <v>117</v>
      </c>
      <c r="B835" t="s">
        <v>7</v>
      </c>
      <c r="C835">
        <v>9465258</v>
      </c>
      <c r="D835">
        <v>175394</v>
      </c>
      <c r="E835">
        <v>8392445</v>
      </c>
    </row>
    <row r="836" spans="1:5" x14ac:dyDescent="0.3">
      <c r="A836" t="s">
        <v>117</v>
      </c>
      <c r="B836" t="s">
        <v>8</v>
      </c>
      <c r="C836">
        <v>8242950</v>
      </c>
      <c r="D836">
        <v>102115</v>
      </c>
      <c r="E836">
        <v>5950284</v>
      </c>
    </row>
    <row r="837" spans="1:5" x14ac:dyDescent="0.3">
      <c r="A837" t="s">
        <v>117</v>
      </c>
      <c r="B837" t="s">
        <v>9</v>
      </c>
      <c r="C837">
        <v>8350256</v>
      </c>
      <c r="D837">
        <v>127778</v>
      </c>
      <c r="E837">
        <v>6670284</v>
      </c>
    </row>
    <row r="838" spans="1:5" x14ac:dyDescent="0.3">
      <c r="A838" t="s">
        <v>117</v>
      </c>
      <c r="B838" t="s">
        <v>10</v>
      </c>
      <c r="C838">
        <v>10558930</v>
      </c>
      <c r="D838">
        <v>246002</v>
      </c>
      <c r="E838">
        <v>8052717</v>
      </c>
    </row>
    <row r="839" spans="1:5" x14ac:dyDescent="0.3">
      <c r="A839" t="s">
        <v>117</v>
      </c>
      <c r="B839" t="s">
        <v>11</v>
      </c>
      <c r="C839">
        <v>18094814</v>
      </c>
      <c r="D839">
        <v>528704</v>
      </c>
      <c r="E839">
        <v>15776475</v>
      </c>
    </row>
    <row r="840" spans="1:5" x14ac:dyDescent="0.3">
      <c r="A840" t="s">
        <v>117</v>
      </c>
      <c r="B840" t="s">
        <v>12</v>
      </c>
      <c r="C840">
        <v>16361203</v>
      </c>
      <c r="D840">
        <v>189269</v>
      </c>
      <c r="E840">
        <v>12298536</v>
      </c>
    </row>
    <row r="841" spans="1:5" x14ac:dyDescent="0.3">
      <c r="A841" t="s">
        <v>117</v>
      </c>
      <c r="B841" t="s">
        <v>13</v>
      </c>
      <c r="C841">
        <v>19389492</v>
      </c>
      <c r="D841">
        <v>301697</v>
      </c>
      <c r="E841">
        <v>16392146</v>
      </c>
    </row>
    <row r="842" spans="1:5" x14ac:dyDescent="0.3">
      <c r="A842" t="s">
        <v>118</v>
      </c>
      <c r="B842" t="s">
        <v>6</v>
      </c>
      <c r="C842">
        <v>18469195</v>
      </c>
      <c r="D842">
        <v>376348</v>
      </c>
      <c r="E842">
        <v>12963242</v>
      </c>
    </row>
    <row r="843" spans="1:5" x14ac:dyDescent="0.3">
      <c r="A843" t="s">
        <v>118</v>
      </c>
      <c r="B843" t="s">
        <v>7</v>
      </c>
      <c r="C843">
        <v>9483624</v>
      </c>
      <c r="D843">
        <v>145752</v>
      </c>
      <c r="E843">
        <v>7201985</v>
      </c>
    </row>
    <row r="844" spans="1:5" x14ac:dyDescent="0.3">
      <c r="A844" t="s">
        <v>118</v>
      </c>
      <c r="B844" t="s">
        <v>8</v>
      </c>
      <c r="C844">
        <v>8252101</v>
      </c>
      <c r="D844">
        <v>178824</v>
      </c>
      <c r="E844">
        <v>6246373</v>
      </c>
    </row>
    <row r="845" spans="1:5" x14ac:dyDescent="0.3">
      <c r="A845" t="s">
        <v>118</v>
      </c>
      <c r="B845" t="s">
        <v>9</v>
      </c>
      <c r="C845">
        <v>8355818</v>
      </c>
      <c r="D845">
        <v>96303</v>
      </c>
      <c r="E845">
        <v>7410392</v>
      </c>
    </row>
    <row r="846" spans="1:5" x14ac:dyDescent="0.3">
      <c r="A846" t="s">
        <v>118</v>
      </c>
      <c r="B846" t="s">
        <v>10</v>
      </c>
      <c r="C846">
        <v>10597891</v>
      </c>
      <c r="D846">
        <v>261625</v>
      </c>
      <c r="E846">
        <v>7994033</v>
      </c>
    </row>
    <row r="847" spans="1:5" x14ac:dyDescent="0.3">
      <c r="A847" t="s">
        <v>118</v>
      </c>
      <c r="B847" t="s">
        <v>11</v>
      </c>
      <c r="C847">
        <v>18116265</v>
      </c>
      <c r="D847">
        <v>339950</v>
      </c>
      <c r="E847">
        <v>13714083</v>
      </c>
    </row>
    <row r="848" spans="1:5" x14ac:dyDescent="0.3">
      <c r="A848" t="s">
        <v>118</v>
      </c>
      <c r="B848" t="s">
        <v>12</v>
      </c>
      <c r="C848">
        <v>16385622</v>
      </c>
      <c r="D848">
        <v>282945</v>
      </c>
      <c r="E848">
        <v>12325262</v>
      </c>
    </row>
    <row r="849" spans="1:5" x14ac:dyDescent="0.3">
      <c r="A849" t="s">
        <v>118</v>
      </c>
      <c r="B849" t="s">
        <v>13</v>
      </c>
      <c r="C849">
        <v>19401171</v>
      </c>
      <c r="D849">
        <v>211002</v>
      </c>
      <c r="E849">
        <v>16091114</v>
      </c>
    </row>
    <row r="850" spans="1:5" x14ac:dyDescent="0.3">
      <c r="A850" t="s">
        <v>119</v>
      </c>
      <c r="B850" t="s">
        <v>6</v>
      </c>
      <c r="C850">
        <v>18508578</v>
      </c>
      <c r="D850">
        <v>500567</v>
      </c>
      <c r="E850">
        <v>13969603</v>
      </c>
    </row>
    <row r="851" spans="1:5" x14ac:dyDescent="0.3">
      <c r="A851" t="s">
        <v>119</v>
      </c>
      <c r="B851" t="s">
        <v>7</v>
      </c>
      <c r="C851">
        <v>9518999</v>
      </c>
      <c r="D851">
        <v>194427</v>
      </c>
      <c r="E851">
        <v>6977697</v>
      </c>
    </row>
    <row r="852" spans="1:5" x14ac:dyDescent="0.3">
      <c r="A852" t="s">
        <v>119</v>
      </c>
      <c r="B852" t="s">
        <v>8</v>
      </c>
      <c r="C852">
        <v>8297299</v>
      </c>
      <c r="D852">
        <v>104283</v>
      </c>
      <c r="E852">
        <v>7383145</v>
      </c>
    </row>
    <row r="853" spans="1:5" x14ac:dyDescent="0.3">
      <c r="A853" t="s">
        <v>119</v>
      </c>
      <c r="B853" t="s">
        <v>9</v>
      </c>
      <c r="C853">
        <v>8357351</v>
      </c>
      <c r="D853">
        <v>96254</v>
      </c>
      <c r="E853">
        <v>6949348</v>
      </c>
    </row>
    <row r="854" spans="1:5" x14ac:dyDescent="0.3">
      <c r="A854" t="s">
        <v>119</v>
      </c>
      <c r="B854" t="s">
        <v>10</v>
      </c>
      <c r="C854">
        <v>10619911</v>
      </c>
      <c r="D854">
        <v>290327</v>
      </c>
      <c r="E854">
        <v>9105990</v>
      </c>
    </row>
    <row r="855" spans="1:5" x14ac:dyDescent="0.3">
      <c r="A855" t="s">
        <v>119</v>
      </c>
      <c r="B855" t="s">
        <v>11</v>
      </c>
      <c r="C855">
        <v>18154248</v>
      </c>
      <c r="D855">
        <v>496832</v>
      </c>
      <c r="E855">
        <v>14714583</v>
      </c>
    </row>
    <row r="856" spans="1:5" x14ac:dyDescent="0.3">
      <c r="A856" t="s">
        <v>119</v>
      </c>
      <c r="B856" t="s">
        <v>12</v>
      </c>
      <c r="C856">
        <v>16407409</v>
      </c>
      <c r="D856">
        <v>466559</v>
      </c>
      <c r="E856">
        <v>13165049</v>
      </c>
    </row>
    <row r="857" spans="1:5" x14ac:dyDescent="0.3">
      <c r="A857" t="s">
        <v>119</v>
      </c>
      <c r="B857" t="s">
        <v>13</v>
      </c>
      <c r="C857">
        <v>19434022</v>
      </c>
      <c r="D857">
        <v>318434</v>
      </c>
      <c r="E857">
        <v>15410972</v>
      </c>
    </row>
    <row r="858" spans="1:5" x14ac:dyDescent="0.3">
      <c r="A858" t="s">
        <v>120</v>
      </c>
      <c r="B858" t="s">
        <v>6</v>
      </c>
      <c r="C858">
        <v>18520621</v>
      </c>
      <c r="D858">
        <v>449715</v>
      </c>
      <c r="E858">
        <v>15277970</v>
      </c>
    </row>
    <row r="859" spans="1:5" x14ac:dyDescent="0.3">
      <c r="A859" t="s">
        <v>120</v>
      </c>
      <c r="B859" t="s">
        <v>7</v>
      </c>
      <c r="C859">
        <v>9562366</v>
      </c>
      <c r="D859">
        <v>142179</v>
      </c>
      <c r="E859">
        <v>7755811</v>
      </c>
    </row>
    <row r="860" spans="1:5" x14ac:dyDescent="0.3">
      <c r="A860" t="s">
        <v>120</v>
      </c>
      <c r="B860" t="s">
        <v>8</v>
      </c>
      <c r="C860">
        <v>8340254</v>
      </c>
      <c r="D860">
        <v>173148</v>
      </c>
      <c r="E860">
        <v>7244592</v>
      </c>
    </row>
    <row r="861" spans="1:5" x14ac:dyDescent="0.3">
      <c r="A861" t="s">
        <v>120</v>
      </c>
      <c r="B861" t="s">
        <v>9</v>
      </c>
      <c r="C861">
        <v>8393462</v>
      </c>
      <c r="D861">
        <v>117252</v>
      </c>
      <c r="E861">
        <v>6212182</v>
      </c>
    </row>
    <row r="862" spans="1:5" x14ac:dyDescent="0.3">
      <c r="A862" t="s">
        <v>120</v>
      </c>
      <c r="B862" t="s">
        <v>10</v>
      </c>
      <c r="C862">
        <v>10668826</v>
      </c>
      <c r="D862">
        <v>214543</v>
      </c>
      <c r="E862">
        <v>8070289</v>
      </c>
    </row>
    <row r="863" spans="1:5" x14ac:dyDescent="0.3">
      <c r="A863" t="s">
        <v>120</v>
      </c>
      <c r="B863" t="s">
        <v>11</v>
      </c>
      <c r="C863">
        <v>18167212</v>
      </c>
      <c r="D863">
        <v>290875</v>
      </c>
      <c r="E863">
        <v>14241334</v>
      </c>
    </row>
    <row r="864" spans="1:5" x14ac:dyDescent="0.3">
      <c r="A864" t="s">
        <v>120</v>
      </c>
      <c r="B864" t="s">
        <v>12</v>
      </c>
      <c r="C864">
        <v>16412533</v>
      </c>
      <c r="D864">
        <v>191609</v>
      </c>
      <c r="E864">
        <v>12202009</v>
      </c>
    </row>
    <row r="865" spans="1:5" x14ac:dyDescent="0.3">
      <c r="A865" t="s">
        <v>120</v>
      </c>
      <c r="B865" t="s">
        <v>13</v>
      </c>
      <c r="C865">
        <v>19458915</v>
      </c>
      <c r="D865">
        <v>541488</v>
      </c>
      <c r="E865">
        <v>14001993</v>
      </c>
    </row>
    <row r="866" spans="1:5" x14ac:dyDescent="0.3">
      <c r="A866" t="s">
        <v>121</v>
      </c>
      <c r="B866" t="s">
        <v>6</v>
      </c>
      <c r="C866">
        <v>18546338</v>
      </c>
      <c r="D866">
        <v>251796</v>
      </c>
      <c r="E866">
        <v>15706530</v>
      </c>
    </row>
    <row r="867" spans="1:5" x14ac:dyDescent="0.3">
      <c r="A867" t="s">
        <v>121</v>
      </c>
      <c r="B867" t="s">
        <v>7</v>
      </c>
      <c r="C867">
        <v>9564908</v>
      </c>
      <c r="D867">
        <v>172456</v>
      </c>
      <c r="E867">
        <v>8146037</v>
      </c>
    </row>
    <row r="868" spans="1:5" x14ac:dyDescent="0.3">
      <c r="A868" t="s">
        <v>121</v>
      </c>
      <c r="B868" t="s">
        <v>8</v>
      </c>
      <c r="C868">
        <v>8347538</v>
      </c>
      <c r="D868">
        <v>99127</v>
      </c>
      <c r="E868">
        <v>7044099</v>
      </c>
    </row>
    <row r="869" spans="1:5" x14ac:dyDescent="0.3">
      <c r="A869" t="s">
        <v>121</v>
      </c>
      <c r="B869" t="s">
        <v>9</v>
      </c>
      <c r="C869">
        <v>8416870</v>
      </c>
      <c r="D869">
        <v>201807</v>
      </c>
      <c r="E869">
        <v>7218961</v>
      </c>
    </row>
    <row r="870" spans="1:5" x14ac:dyDescent="0.3">
      <c r="A870" t="s">
        <v>121</v>
      </c>
      <c r="B870" t="s">
        <v>10</v>
      </c>
      <c r="C870">
        <v>10679991</v>
      </c>
      <c r="D870">
        <v>152609</v>
      </c>
      <c r="E870">
        <v>7837655</v>
      </c>
    </row>
    <row r="871" spans="1:5" x14ac:dyDescent="0.3">
      <c r="A871" t="s">
        <v>121</v>
      </c>
      <c r="B871" t="s">
        <v>11</v>
      </c>
      <c r="C871">
        <v>18187137</v>
      </c>
      <c r="D871">
        <v>184786</v>
      </c>
      <c r="E871">
        <v>13068487</v>
      </c>
    </row>
    <row r="872" spans="1:5" x14ac:dyDescent="0.3">
      <c r="A872" t="s">
        <v>121</v>
      </c>
      <c r="B872" t="s">
        <v>12</v>
      </c>
      <c r="C872">
        <v>16417073</v>
      </c>
      <c r="D872">
        <v>430915</v>
      </c>
      <c r="E872">
        <v>13559887</v>
      </c>
    </row>
    <row r="873" spans="1:5" x14ac:dyDescent="0.3">
      <c r="A873" t="s">
        <v>121</v>
      </c>
      <c r="B873" t="s">
        <v>13</v>
      </c>
      <c r="C873">
        <v>19465131</v>
      </c>
      <c r="D873">
        <v>477783</v>
      </c>
      <c r="E873">
        <v>15217025</v>
      </c>
    </row>
    <row r="874" spans="1:5" x14ac:dyDescent="0.3">
      <c r="A874" t="s">
        <v>122</v>
      </c>
      <c r="B874" t="s">
        <v>6</v>
      </c>
      <c r="C874">
        <v>18574919</v>
      </c>
      <c r="D874">
        <v>238486</v>
      </c>
      <c r="E874">
        <v>13242043</v>
      </c>
    </row>
    <row r="875" spans="1:5" x14ac:dyDescent="0.3">
      <c r="A875" t="s">
        <v>122</v>
      </c>
      <c r="B875" t="s">
        <v>7</v>
      </c>
      <c r="C875">
        <v>9578332</v>
      </c>
      <c r="D875">
        <v>182095</v>
      </c>
      <c r="E875">
        <v>7868343</v>
      </c>
    </row>
    <row r="876" spans="1:5" x14ac:dyDescent="0.3">
      <c r="A876" t="s">
        <v>122</v>
      </c>
      <c r="B876" t="s">
        <v>8</v>
      </c>
      <c r="C876">
        <v>8361772</v>
      </c>
      <c r="D876">
        <v>191891</v>
      </c>
      <c r="E876">
        <v>7126756</v>
      </c>
    </row>
    <row r="877" spans="1:5" x14ac:dyDescent="0.3">
      <c r="A877" t="s">
        <v>122</v>
      </c>
      <c r="B877" t="s">
        <v>9</v>
      </c>
      <c r="C877">
        <v>8464471</v>
      </c>
      <c r="D877">
        <v>85068</v>
      </c>
      <c r="E877">
        <v>6501301</v>
      </c>
    </row>
    <row r="878" spans="1:5" x14ac:dyDescent="0.3">
      <c r="A878" t="s">
        <v>122</v>
      </c>
      <c r="B878" t="s">
        <v>10</v>
      </c>
      <c r="C878">
        <v>10699413</v>
      </c>
      <c r="D878">
        <v>318143</v>
      </c>
      <c r="E878">
        <v>8236209</v>
      </c>
    </row>
    <row r="879" spans="1:5" x14ac:dyDescent="0.3">
      <c r="A879" t="s">
        <v>122</v>
      </c>
      <c r="B879" t="s">
        <v>11</v>
      </c>
      <c r="C879">
        <v>18189283</v>
      </c>
      <c r="D879">
        <v>365636</v>
      </c>
      <c r="E879">
        <v>15223599</v>
      </c>
    </row>
    <row r="880" spans="1:5" x14ac:dyDescent="0.3">
      <c r="A880" t="s">
        <v>122</v>
      </c>
      <c r="B880" t="s">
        <v>12</v>
      </c>
      <c r="C880">
        <v>16450373</v>
      </c>
      <c r="D880">
        <v>363490</v>
      </c>
      <c r="E880">
        <v>12980796</v>
      </c>
    </row>
    <row r="881" spans="1:5" x14ac:dyDescent="0.3">
      <c r="A881" t="s">
        <v>122</v>
      </c>
      <c r="B881" t="s">
        <v>13</v>
      </c>
      <c r="C881">
        <v>19490863</v>
      </c>
      <c r="D881">
        <v>288965</v>
      </c>
      <c r="E881">
        <v>15950234</v>
      </c>
    </row>
    <row r="882" spans="1:5" x14ac:dyDescent="0.3">
      <c r="A882" t="s">
        <v>123</v>
      </c>
      <c r="B882" t="s">
        <v>6</v>
      </c>
      <c r="C882">
        <v>18599047</v>
      </c>
      <c r="D882">
        <v>543365</v>
      </c>
      <c r="E882">
        <v>15773887</v>
      </c>
    </row>
    <row r="883" spans="1:5" x14ac:dyDescent="0.3">
      <c r="A883" t="s">
        <v>123</v>
      </c>
      <c r="B883" t="s">
        <v>7</v>
      </c>
      <c r="C883">
        <v>9583186</v>
      </c>
      <c r="D883">
        <v>196960</v>
      </c>
      <c r="E883">
        <v>7597361</v>
      </c>
    </row>
    <row r="884" spans="1:5" x14ac:dyDescent="0.3">
      <c r="A884" t="s">
        <v>123</v>
      </c>
      <c r="B884" t="s">
        <v>8</v>
      </c>
      <c r="C884">
        <v>8375212</v>
      </c>
      <c r="D884">
        <v>185444</v>
      </c>
      <c r="E884">
        <v>7208158</v>
      </c>
    </row>
    <row r="885" spans="1:5" x14ac:dyDescent="0.3">
      <c r="A885" t="s">
        <v>123</v>
      </c>
      <c r="B885" t="s">
        <v>9</v>
      </c>
      <c r="C885">
        <v>8478532</v>
      </c>
      <c r="D885">
        <v>113824</v>
      </c>
      <c r="E885">
        <v>6784607</v>
      </c>
    </row>
    <row r="886" spans="1:5" x14ac:dyDescent="0.3">
      <c r="A886" t="s">
        <v>123</v>
      </c>
      <c r="B886" t="s">
        <v>10</v>
      </c>
      <c r="C886">
        <v>10707842</v>
      </c>
      <c r="D886">
        <v>199098</v>
      </c>
      <c r="E886">
        <v>7939766</v>
      </c>
    </row>
    <row r="887" spans="1:5" x14ac:dyDescent="0.3">
      <c r="A887" t="s">
        <v>123</v>
      </c>
      <c r="B887" t="s">
        <v>11</v>
      </c>
      <c r="C887">
        <v>18193069</v>
      </c>
      <c r="D887">
        <v>319242</v>
      </c>
      <c r="E887">
        <v>15436356</v>
      </c>
    </row>
    <row r="888" spans="1:5" x14ac:dyDescent="0.3">
      <c r="A888" t="s">
        <v>123</v>
      </c>
      <c r="B888" t="s">
        <v>12</v>
      </c>
      <c r="C888">
        <v>16483550</v>
      </c>
      <c r="D888">
        <v>241958</v>
      </c>
      <c r="E888">
        <v>14260728</v>
      </c>
    </row>
    <row r="889" spans="1:5" x14ac:dyDescent="0.3">
      <c r="A889" t="s">
        <v>123</v>
      </c>
      <c r="B889" t="s">
        <v>13</v>
      </c>
      <c r="C889">
        <v>19508684</v>
      </c>
      <c r="D889">
        <v>220356</v>
      </c>
      <c r="E889">
        <v>16825478</v>
      </c>
    </row>
    <row r="890" spans="1:5" x14ac:dyDescent="0.3">
      <c r="A890" t="s">
        <v>124</v>
      </c>
      <c r="B890" t="s">
        <v>6</v>
      </c>
      <c r="C890">
        <v>18610852</v>
      </c>
      <c r="D890">
        <v>456997</v>
      </c>
      <c r="E890">
        <v>13187272</v>
      </c>
    </row>
    <row r="891" spans="1:5" x14ac:dyDescent="0.3">
      <c r="A891" t="s">
        <v>124</v>
      </c>
      <c r="B891" t="s">
        <v>7</v>
      </c>
      <c r="C891">
        <v>9602500</v>
      </c>
      <c r="D891">
        <v>111352</v>
      </c>
      <c r="E891">
        <v>8044302</v>
      </c>
    </row>
    <row r="892" spans="1:5" x14ac:dyDescent="0.3">
      <c r="A892" t="s">
        <v>124</v>
      </c>
      <c r="B892" t="s">
        <v>8</v>
      </c>
      <c r="C892">
        <v>8377066</v>
      </c>
      <c r="D892">
        <v>93027</v>
      </c>
      <c r="E892">
        <v>7302252</v>
      </c>
    </row>
    <row r="893" spans="1:5" x14ac:dyDescent="0.3">
      <c r="A893" t="s">
        <v>124</v>
      </c>
      <c r="B893" t="s">
        <v>9</v>
      </c>
      <c r="C893">
        <v>8486904</v>
      </c>
      <c r="D893">
        <v>114645</v>
      </c>
      <c r="E893">
        <v>7372725</v>
      </c>
    </row>
    <row r="894" spans="1:5" x14ac:dyDescent="0.3">
      <c r="A894" t="s">
        <v>124</v>
      </c>
      <c r="B894" t="s">
        <v>10</v>
      </c>
      <c r="C894">
        <v>10750960</v>
      </c>
      <c r="D894">
        <v>187432</v>
      </c>
      <c r="E894">
        <v>9284657</v>
      </c>
    </row>
    <row r="895" spans="1:5" x14ac:dyDescent="0.3">
      <c r="A895" t="s">
        <v>124</v>
      </c>
      <c r="B895" t="s">
        <v>11</v>
      </c>
      <c r="C895">
        <v>18198345</v>
      </c>
      <c r="D895">
        <v>405435</v>
      </c>
      <c r="E895">
        <v>13393230</v>
      </c>
    </row>
    <row r="896" spans="1:5" x14ac:dyDescent="0.3">
      <c r="A896" t="s">
        <v>124</v>
      </c>
      <c r="B896" t="s">
        <v>12</v>
      </c>
      <c r="C896">
        <v>16529807</v>
      </c>
      <c r="D896">
        <v>489969</v>
      </c>
      <c r="E896">
        <v>11978451</v>
      </c>
    </row>
    <row r="897" spans="1:5" x14ac:dyDescent="0.3">
      <c r="A897" t="s">
        <v>124</v>
      </c>
      <c r="B897" t="s">
        <v>13</v>
      </c>
      <c r="C897">
        <v>19535946</v>
      </c>
      <c r="D897">
        <v>313943</v>
      </c>
      <c r="E897">
        <v>14923540</v>
      </c>
    </row>
    <row r="898" spans="1:5" x14ac:dyDescent="0.3">
      <c r="A898" t="s">
        <v>125</v>
      </c>
      <c r="B898" t="s">
        <v>6</v>
      </c>
      <c r="C898">
        <v>18636599</v>
      </c>
      <c r="D898">
        <v>287216</v>
      </c>
      <c r="E898">
        <v>15885084</v>
      </c>
    </row>
    <row r="899" spans="1:5" x14ac:dyDescent="0.3">
      <c r="A899" t="s">
        <v>125</v>
      </c>
      <c r="B899" t="s">
        <v>7</v>
      </c>
      <c r="C899">
        <v>9604207</v>
      </c>
      <c r="D899">
        <v>208705</v>
      </c>
      <c r="E899">
        <v>7166306</v>
      </c>
    </row>
    <row r="900" spans="1:5" x14ac:dyDescent="0.3">
      <c r="A900" t="s">
        <v>125</v>
      </c>
      <c r="B900" t="s">
        <v>8</v>
      </c>
      <c r="C900">
        <v>8425162</v>
      </c>
      <c r="D900">
        <v>240903</v>
      </c>
      <c r="E900">
        <v>7362548</v>
      </c>
    </row>
    <row r="901" spans="1:5" x14ac:dyDescent="0.3">
      <c r="A901" t="s">
        <v>125</v>
      </c>
      <c r="B901" t="s">
        <v>9</v>
      </c>
      <c r="C901">
        <v>8521234</v>
      </c>
      <c r="D901">
        <v>138888</v>
      </c>
      <c r="E901">
        <v>6999745</v>
      </c>
    </row>
    <row r="902" spans="1:5" x14ac:dyDescent="0.3">
      <c r="A902" t="s">
        <v>125</v>
      </c>
      <c r="B902" t="s">
        <v>10</v>
      </c>
      <c r="C902">
        <v>10782939</v>
      </c>
      <c r="D902">
        <v>110217</v>
      </c>
      <c r="E902">
        <v>9320645</v>
      </c>
    </row>
    <row r="903" spans="1:5" x14ac:dyDescent="0.3">
      <c r="A903" t="s">
        <v>125</v>
      </c>
      <c r="B903" t="s">
        <v>11</v>
      </c>
      <c r="C903">
        <v>18199768</v>
      </c>
      <c r="D903">
        <v>185277</v>
      </c>
      <c r="E903">
        <v>15024552</v>
      </c>
    </row>
    <row r="904" spans="1:5" x14ac:dyDescent="0.3">
      <c r="A904" t="s">
        <v>125</v>
      </c>
      <c r="B904" t="s">
        <v>12</v>
      </c>
      <c r="C904">
        <v>16556305</v>
      </c>
      <c r="D904">
        <v>447463</v>
      </c>
      <c r="E904">
        <v>13631373</v>
      </c>
    </row>
    <row r="905" spans="1:5" x14ac:dyDescent="0.3">
      <c r="A905" t="s">
        <v>125</v>
      </c>
      <c r="B905" t="s">
        <v>13</v>
      </c>
      <c r="C905">
        <v>19584206</v>
      </c>
      <c r="D905">
        <v>291643</v>
      </c>
      <c r="E905">
        <v>17170997</v>
      </c>
    </row>
    <row r="906" spans="1:5" x14ac:dyDescent="0.3">
      <c r="A906" t="s">
        <v>126</v>
      </c>
      <c r="B906" t="s">
        <v>6</v>
      </c>
      <c r="C906">
        <v>18648391</v>
      </c>
      <c r="D906">
        <v>195300</v>
      </c>
      <c r="E906">
        <v>15801426</v>
      </c>
    </row>
    <row r="907" spans="1:5" x14ac:dyDescent="0.3">
      <c r="A907" t="s">
        <v>126</v>
      </c>
      <c r="B907" t="s">
        <v>7</v>
      </c>
      <c r="C907">
        <v>9639520</v>
      </c>
      <c r="D907">
        <v>123455</v>
      </c>
      <c r="E907">
        <v>8190870</v>
      </c>
    </row>
    <row r="908" spans="1:5" x14ac:dyDescent="0.3">
      <c r="A908" t="s">
        <v>126</v>
      </c>
      <c r="B908" t="s">
        <v>8</v>
      </c>
      <c r="C908">
        <v>8475074</v>
      </c>
      <c r="D908">
        <v>228721</v>
      </c>
      <c r="E908">
        <v>6647494</v>
      </c>
    </row>
    <row r="909" spans="1:5" x14ac:dyDescent="0.3">
      <c r="A909" t="s">
        <v>126</v>
      </c>
      <c r="B909" t="s">
        <v>9</v>
      </c>
      <c r="C909">
        <v>8532070</v>
      </c>
      <c r="D909">
        <v>115848</v>
      </c>
      <c r="E909">
        <v>6312967</v>
      </c>
    </row>
    <row r="910" spans="1:5" x14ac:dyDescent="0.3">
      <c r="A910" t="s">
        <v>126</v>
      </c>
      <c r="B910" t="s">
        <v>10</v>
      </c>
      <c r="C910">
        <v>10807352</v>
      </c>
      <c r="D910">
        <v>222025</v>
      </c>
      <c r="E910">
        <v>9702621</v>
      </c>
    </row>
    <row r="911" spans="1:5" x14ac:dyDescent="0.3">
      <c r="A911" t="s">
        <v>126</v>
      </c>
      <c r="B911" t="s">
        <v>11</v>
      </c>
      <c r="C911">
        <v>18234581</v>
      </c>
      <c r="D911">
        <v>205662</v>
      </c>
      <c r="E911">
        <v>14100201</v>
      </c>
    </row>
    <row r="912" spans="1:5" x14ac:dyDescent="0.3">
      <c r="A912" t="s">
        <v>126</v>
      </c>
      <c r="B912" t="s">
        <v>12</v>
      </c>
      <c r="C912">
        <v>16568305</v>
      </c>
      <c r="D912">
        <v>334362</v>
      </c>
      <c r="E912">
        <v>11872503</v>
      </c>
    </row>
    <row r="913" spans="1:5" x14ac:dyDescent="0.3">
      <c r="A913" t="s">
        <v>126</v>
      </c>
      <c r="B913" t="s">
        <v>13</v>
      </c>
      <c r="C913">
        <v>19613251</v>
      </c>
      <c r="D913">
        <v>369135</v>
      </c>
      <c r="E913">
        <v>15236133</v>
      </c>
    </row>
    <row r="914" spans="1:5" x14ac:dyDescent="0.3">
      <c r="A914" t="s">
        <v>127</v>
      </c>
      <c r="B914" t="s">
        <v>6</v>
      </c>
      <c r="C914">
        <v>18651149</v>
      </c>
      <c r="D914">
        <v>267733</v>
      </c>
      <c r="E914">
        <v>14521563</v>
      </c>
    </row>
    <row r="915" spans="1:5" x14ac:dyDescent="0.3">
      <c r="A915" t="s">
        <v>127</v>
      </c>
      <c r="B915" t="s">
        <v>7</v>
      </c>
      <c r="C915">
        <v>9646369</v>
      </c>
      <c r="D915">
        <v>267530</v>
      </c>
      <c r="E915">
        <v>7638067</v>
      </c>
    </row>
    <row r="916" spans="1:5" x14ac:dyDescent="0.3">
      <c r="A916" t="s">
        <v>127</v>
      </c>
      <c r="B916" t="s">
        <v>8</v>
      </c>
      <c r="C916">
        <v>8515923</v>
      </c>
      <c r="D916">
        <v>165175</v>
      </c>
      <c r="E916">
        <v>7025380</v>
      </c>
    </row>
    <row r="917" spans="1:5" x14ac:dyDescent="0.3">
      <c r="A917" t="s">
        <v>127</v>
      </c>
      <c r="B917" t="s">
        <v>9</v>
      </c>
      <c r="C917">
        <v>8570812</v>
      </c>
      <c r="D917">
        <v>109551</v>
      </c>
      <c r="E917">
        <v>6897480</v>
      </c>
    </row>
    <row r="918" spans="1:5" x14ac:dyDescent="0.3">
      <c r="A918" t="s">
        <v>127</v>
      </c>
      <c r="B918" t="s">
        <v>10</v>
      </c>
      <c r="C918">
        <v>10810334</v>
      </c>
      <c r="D918">
        <v>197534</v>
      </c>
      <c r="E918">
        <v>8114229</v>
      </c>
    </row>
    <row r="919" spans="1:5" x14ac:dyDescent="0.3">
      <c r="A919" t="s">
        <v>127</v>
      </c>
      <c r="B919" t="s">
        <v>11</v>
      </c>
      <c r="C919">
        <v>18249102</v>
      </c>
      <c r="D919">
        <v>345394</v>
      </c>
      <c r="E919">
        <v>13922302</v>
      </c>
    </row>
    <row r="920" spans="1:5" x14ac:dyDescent="0.3">
      <c r="A920" t="s">
        <v>127</v>
      </c>
      <c r="B920" t="s">
        <v>12</v>
      </c>
      <c r="C920">
        <v>16580046</v>
      </c>
      <c r="D920">
        <v>471647</v>
      </c>
      <c r="E920">
        <v>12578083</v>
      </c>
    </row>
    <row r="921" spans="1:5" x14ac:dyDescent="0.3">
      <c r="A921" t="s">
        <v>127</v>
      </c>
      <c r="B921" t="s">
        <v>13</v>
      </c>
      <c r="C921">
        <v>19619097</v>
      </c>
      <c r="D921">
        <v>257287</v>
      </c>
      <c r="E921">
        <v>17540468</v>
      </c>
    </row>
    <row r="922" spans="1:5" x14ac:dyDescent="0.3">
      <c r="A922" t="s">
        <v>128</v>
      </c>
      <c r="B922" t="s">
        <v>6</v>
      </c>
      <c r="C922">
        <v>18673195</v>
      </c>
      <c r="D922">
        <v>330699</v>
      </c>
      <c r="E922">
        <v>16538115</v>
      </c>
    </row>
    <row r="923" spans="1:5" x14ac:dyDescent="0.3">
      <c r="A923" t="s">
        <v>128</v>
      </c>
      <c r="B923" t="s">
        <v>7</v>
      </c>
      <c r="C923">
        <v>9652488</v>
      </c>
      <c r="D923">
        <v>247255</v>
      </c>
      <c r="E923">
        <v>7143341</v>
      </c>
    </row>
    <row r="924" spans="1:5" x14ac:dyDescent="0.3">
      <c r="A924" t="s">
        <v>128</v>
      </c>
      <c r="B924" t="s">
        <v>8</v>
      </c>
      <c r="C924">
        <v>8518559</v>
      </c>
      <c r="D924">
        <v>143147</v>
      </c>
      <c r="E924">
        <v>6122153</v>
      </c>
    </row>
    <row r="925" spans="1:5" x14ac:dyDescent="0.3">
      <c r="A925" t="s">
        <v>128</v>
      </c>
      <c r="B925" t="s">
        <v>9</v>
      </c>
      <c r="C925">
        <v>8594602</v>
      </c>
      <c r="D925">
        <v>220074</v>
      </c>
      <c r="E925">
        <v>7443193</v>
      </c>
    </row>
    <row r="926" spans="1:5" x14ac:dyDescent="0.3">
      <c r="A926" t="s">
        <v>128</v>
      </c>
      <c r="B926" t="s">
        <v>10</v>
      </c>
      <c r="C926">
        <v>10824257</v>
      </c>
      <c r="D926">
        <v>171085</v>
      </c>
      <c r="E926">
        <v>7808709</v>
      </c>
    </row>
    <row r="927" spans="1:5" x14ac:dyDescent="0.3">
      <c r="A927" t="s">
        <v>128</v>
      </c>
      <c r="B927" t="s">
        <v>11</v>
      </c>
      <c r="C927">
        <v>18250385</v>
      </c>
      <c r="D927">
        <v>540842</v>
      </c>
      <c r="E927">
        <v>14442547</v>
      </c>
    </row>
    <row r="928" spans="1:5" x14ac:dyDescent="0.3">
      <c r="A928" t="s">
        <v>128</v>
      </c>
      <c r="B928" t="s">
        <v>12</v>
      </c>
      <c r="C928">
        <v>16621065</v>
      </c>
      <c r="D928">
        <v>221381</v>
      </c>
      <c r="E928">
        <v>12395870</v>
      </c>
    </row>
    <row r="929" spans="1:5" x14ac:dyDescent="0.3">
      <c r="A929" t="s">
        <v>128</v>
      </c>
      <c r="B929" t="s">
        <v>13</v>
      </c>
      <c r="C929">
        <v>19660669</v>
      </c>
      <c r="D929">
        <v>486332</v>
      </c>
      <c r="E929">
        <v>14325819</v>
      </c>
    </row>
    <row r="930" spans="1:5" x14ac:dyDescent="0.3">
      <c r="A930" t="s">
        <v>129</v>
      </c>
      <c r="B930" t="s">
        <v>6</v>
      </c>
      <c r="C930">
        <v>18679529</v>
      </c>
      <c r="D930">
        <v>439675</v>
      </c>
      <c r="E930">
        <v>16792584</v>
      </c>
    </row>
    <row r="931" spans="1:5" x14ac:dyDescent="0.3">
      <c r="A931" t="s">
        <v>129</v>
      </c>
      <c r="B931" t="s">
        <v>7</v>
      </c>
      <c r="C931">
        <v>9674249</v>
      </c>
      <c r="D931">
        <v>127990</v>
      </c>
      <c r="E931">
        <v>8258178</v>
      </c>
    </row>
    <row r="932" spans="1:5" x14ac:dyDescent="0.3">
      <c r="A932" t="s">
        <v>129</v>
      </c>
      <c r="B932" t="s">
        <v>8</v>
      </c>
      <c r="C932">
        <v>8544516</v>
      </c>
      <c r="D932">
        <v>103589</v>
      </c>
      <c r="E932">
        <v>6521580</v>
      </c>
    </row>
    <row r="933" spans="1:5" x14ac:dyDescent="0.3">
      <c r="A933" t="s">
        <v>129</v>
      </c>
      <c r="B933" t="s">
        <v>9</v>
      </c>
      <c r="C933">
        <v>8596196</v>
      </c>
      <c r="D933">
        <v>113791</v>
      </c>
      <c r="E933">
        <v>6330740</v>
      </c>
    </row>
    <row r="934" spans="1:5" x14ac:dyDescent="0.3">
      <c r="A934" t="s">
        <v>129</v>
      </c>
      <c r="B934" t="s">
        <v>10</v>
      </c>
      <c r="C934">
        <v>10839194</v>
      </c>
      <c r="D934">
        <v>228066</v>
      </c>
      <c r="E934">
        <v>8857439</v>
      </c>
    </row>
    <row r="935" spans="1:5" x14ac:dyDescent="0.3">
      <c r="A935" t="s">
        <v>129</v>
      </c>
      <c r="B935" t="s">
        <v>11</v>
      </c>
      <c r="C935">
        <v>18261400</v>
      </c>
      <c r="D935">
        <v>277688</v>
      </c>
      <c r="E935">
        <v>12849675</v>
      </c>
    </row>
    <row r="936" spans="1:5" x14ac:dyDescent="0.3">
      <c r="A936" t="s">
        <v>129</v>
      </c>
      <c r="B936" t="s">
        <v>12</v>
      </c>
      <c r="C936">
        <v>16634567</v>
      </c>
      <c r="D936">
        <v>479615</v>
      </c>
      <c r="E936">
        <v>14763964</v>
      </c>
    </row>
    <row r="937" spans="1:5" x14ac:dyDescent="0.3">
      <c r="A937" t="s">
        <v>129</v>
      </c>
      <c r="B937" t="s">
        <v>13</v>
      </c>
      <c r="C937">
        <v>19692118</v>
      </c>
      <c r="D937">
        <v>589237</v>
      </c>
      <c r="E937">
        <v>14428651</v>
      </c>
    </row>
    <row r="938" spans="1:5" x14ac:dyDescent="0.3">
      <c r="A938" t="s">
        <v>130</v>
      </c>
      <c r="B938" t="s">
        <v>6</v>
      </c>
      <c r="C938">
        <v>18682026</v>
      </c>
      <c r="D938">
        <v>358558</v>
      </c>
      <c r="E938">
        <v>15376040</v>
      </c>
    </row>
    <row r="939" spans="1:5" x14ac:dyDescent="0.3">
      <c r="A939" t="s">
        <v>130</v>
      </c>
      <c r="B939" t="s">
        <v>7</v>
      </c>
      <c r="C939">
        <v>9720862</v>
      </c>
      <c r="D939">
        <v>198831</v>
      </c>
      <c r="E939">
        <v>7894065</v>
      </c>
    </row>
    <row r="940" spans="1:5" x14ac:dyDescent="0.3">
      <c r="A940" t="s">
        <v>130</v>
      </c>
      <c r="B940" t="s">
        <v>8</v>
      </c>
      <c r="C940">
        <v>8546425</v>
      </c>
      <c r="D940">
        <v>213331</v>
      </c>
      <c r="E940">
        <v>7558431</v>
      </c>
    </row>
    <row r="941" spans="1:5" x14ac:dyDescent="0.3">
      <c r="A941" t="s">
        <v>130</v>
      </c>
      <c r="B941" t="s">
        <v>9</v>
      </c>
      <c r="C941">
        <v>8639745</v>
      </c>
      <c r="D941">
        <v>182113</v>
      </c>
      <c r="E941">
        <v>6147158</v>
      </c>
    </row>
    <row r="942" spans="1:5" x14ac:dyDescent="0.3">
      <c r="A942" t="s">
        <v>130</v>
      </c>
      <c r="B942" t="s">
        <v>10</v>
      </c>
      <c r="C942">
        <v>10884601</v>
      </c>
      <c r="D942">
        <v>142416</v>
      </c>
      <c r="E942">
        <v>8440987</v>
      </c>
    </row>
    <row r="943" spans="1:5" x14ac:dyDescent="0.3">
      <c r="A943" t="s">
        <v>130</v>
      </c>
      <c r="B943" t="s">
        <v>11</v>
      </c>
      <c r="C943">
        <v>18292379</v>
      </c>
      <c r="D943">
        <v>436080</v>
      </c>
      <c r="E943">
        <v>12871795</v>
      </c>
    </row>
    <row r="944" spans="1:5" x14ac:dyDescent="0.3">
      <c r="A944" t="s">
        <v>130</v>
      </c>
      <c r="B944" t="s">
        <v>12</v>
      </c>
      <c r="C944">
        <v>16655236</v>
      </c>
      <c r="D944">
        <v>442617</v>
      </c>
      <c r="E944">
        <v>12035084</v>
      </c>
    </row>
    <row r="945" spans="1:5" x14ac:dyDescent="0.3">
      <c r="A945" t="s">
        <v>130</v>
      </c>
      <c r="B945" t="s">
        <v>13</v>
      </c>
      <c r="C945">
        <v>19735163</v>
      </c>
      <c r="D945">
        <v>313453</v>
      </c>
      <c r="E945">
        <v>16144944</v>
      </c>
    </row>
    <row r="946" spans="1:5" x14ac:dyDescent="0.3">
      <c r="A946" t="s">
        <v>131</v>
      </c>
      <c r="B946" t="s">
        <v>6</v>
      </c>
      <c r="C946">
        <v>18703334</v>
      </c>
      <c r="D946">
        <v>511189</v>
      </c>
      <c r="E946">
        <v>15148732</v>
      </c>
    </row>
    <row r="947" spans="1:5" x14ac:dyDescent="0.3">
      <c r="A947" t="s">
        <v>131</v>
      </c>
      <c r="B947" t="s">
        <v>7</v>
      </c>
      <c r="C947">
        <v>9740564</v>
      </c>
      <c r="D947">
        <v>287147</v>
      </c>
      <c r="E947">
        <v>7292978</v>
      </c>
    </row>
    <row r="948" spans="1:5" x14ac:dyDescent="0.3">
      <c r="A948" t="s">
        <v>131</v>
      </c>
      <c r="B948" t="s">
        <v>8</v>
      </c>
      <c r="C948">
        <v>8552472</v>
      </c>
      <c r="D948">
        <v>172095</v>
      </c>
      <c r="E948">
        <v>6310812</v>
      </c>
    </row>
    <row r="949" spans="1:5" x14ac:dyDescent="0.3">
      <c r="A949" t="s">
        <v>131</v>
      </c>
      <c r="B949" t="s">
        <v>9</v>
      </c>
      <c r="C949">
        <v>8685880</v>
      </c>
      <c r="D949">
        <v>142544</v>
      </c>
      <c r="E949">
        <v>7046235</v>
      </c>
    </row>
    <row r="950" spans="1:5" x14ac:dyDescent="0.3">
      <c r="A950" t="s">
        <v>131</v>
      </c>
      <c r="B950" t="s">
        <v>10</v>
      </c>
      <c r="C950">
        <v>10896678</v>
      </c>
      <c r="D950">
        <v>265585</v>
      </c>
      <c r="E950">
        <v>8955041</v>
      </c>
    </row>
    <row r="951" spans="1:5" x14ac:dyDescent="0.3">
      <c r="A951" t="s">
        <v>131</v>
      </c>
      <c r="B951" t="s">
        <v>11</v>
      </c>
      <c r="C951">
        <v>18305394</v>
      </c>
      <c r="D951">
        <v>351249</v>
      </c>
      <c r="E951">
        <v>15220211</v>
      </c>
    </row>
    <row r="952" spans="1:5" x14ac:dyDescent="0.3">
      <c r="A952" t="s">
        <v>131</v>
      </c>
      <c r="B952" t="s">
        <v>12</v>
      </c>
      <c r="C952">
        <v>16687637</v>
      </c>
      <c r="D952">
        <v>289188</v>
      </c>
      <c r="E952">
        <v>12707654</v>
      </c>
    </row>
    <row r="953" spans="1:5" x14ac:dyDescent="0.3">
      <c r="A953" t="s">
        <v>131</v>
      </c>
      <c r="B953" t="s">
        <v>13</v>
      </c>
      <c r="C953">
        <v>19768699</v>
      </c>
      <c r="D953">
        <v>357100</v>
      </c>
      <c r="E953">
        <v>14653572</v>
      </c>
    </row>
    <row r="954" spans="1:5" x14ac:dyDescent="0.3">
      <c r="A954" t="s">
        <v>132</v>
      </c>
      <c r="B954" t="s">
        <v>6</v>
      </c>
      <c r="C954">
        <v>18752273</v>
      </c>
      <c r="D954">
        <v>541942</v>
      </c>
      <c r="E954">
        <v>14934744</v>
      </c>
    </row>
    <row r="955" spans="1:5" x14ac:dyDescent="0.3">
      <c r="A955" t="s">
        <v>132</v>
      </c>
      <c r="B955" t="s">
        <v>7</v>
      </c>
      <c r="C955">
        <v>9744603</v>
      </c>
      <c r="D955">
        <v>281538</v>
      </c>
      <c r="E955">
        <v>7838472</v>
      </c>
    </row>
    <row r="956" spans="1:5" x14ac:dyDescent="0.3">
      <c r="A956" t="s">
        <v>132</v>
      </c>
      <c r="B956" t="s">
        <v>8</v>
      </c>
      <c r="C956">
        <v>8585437</v>
      </c>
      <c r="D956">
        <v>239425</v>
      </c>
      <c r="E956">
        <v>7418957</v>
      </c>
    </row>
    <row r="957" spans="1:5" x14ac:dyDescent="0.3">
      <c r="A957" t="s">
        <v>132</v>
      </c>
      <c r="B957" t="s">
        <v>9</v>
      </c>
      <c r="C957">
        <v>8698078</v>
      </c>
      <c r="D957">
        <v>172379</v>
      </c>
      <c r="E957">
        <v>7484348</v>
      </c>
    </row>
    <row r="958" spans="1:5" x14ac:dyDescent="0.3">
      <c r="A958" t="s">
        <v>132</v>
      </c>
      <c r="B958" t="s">
        <v>10</v>
      </c>
      <c r="C958">
        <v>10911166</v>
      </c>
      <c r="D958">
        <v>303460</v>
      </c>
      <c r="E958">
        <v>8665079</v>
      </c>
    </row>
    <row r="959" spans="1:5" x14ac:dyDescent="0.3">
      <c r="A959" t="s">
        <v>132</v>
      </c>
      <c r="B959" t="s">
        <v>11</v>
      </c>
      <c r="C959">
        <v>18326584</v>
      </c>
      <c r="D959">
        <v>310247</v>
      </c>
      <c r="E959">
        <v>15550306</v>
      </c>
    </row>
    <row r="960" spans="1:5" x14ac:dyDescent="0.3">
      <c r="A960" t="s">
        <v>132</v>
      </c>
      <c r="B960" t="s">
        <v>12</v>
      </c>
      <c r="C960">
        <v>16710400</v>
      </c>
      <c r="D960">
        <v>419602</v>
      </c>
      <c r="E960">
        <v>12082944</v>
      </c>
    </row>
    <row r="961" spans="1:5" x14ac:dyDescent="0.3">
      <c r="A961" t="s">
        <v>132</v>
      </c>
      <c r="B961" t="s">
        <v>13</v>
      </c>
      <c r="C961">
        <v>19816003</v>
      </c>
      <c r="D961">
        <v>277625</v>
      </c>
      <c r="E961">
        <v>16484157</v>
      </c>
    </row>
    <row r="962" spans="1:5" x14ac:dyDescent="0.3">
      <c r="A962" t="s">
        <v>133</v>
      </c>
      <c r="B962" t="s">
        <v>6</v>
      </c>
      <c r="C962">
        <v>18779933</v>
      </c>
      <c r="D962">
        <v>462014</v>
      </c>
      <c r="E962">
        <v>13378605</v>
      </c>
    </row>
    <row r="963" spans="1:5" x14ac:dyDescent="0.3">
      <c r="A963" t="s">
        <v>133</v>
      </c>
      <c r="B963" t="s">
        <v>7</v>
      </c>
      <c r="C963">
        <v>9748490</v>
      </c>
      <c r="D963">
        <v>106569</v>
      </c>
      <c r="E963">
        <v>7498005</v>
      </c>
    </row>
    <row r="964" spans="1:5" x14ac:dyDescent="0.3">
      <c r="A964" t="s">
        <v>133</v>
      </c>
      <c r="B964" t="s">
        <v>8</v>
      </c>
      <c r="C964">
        <v>8617781</v>
      </c>
      <c r="D964">
        <v>143112</v>
      </c>
      <c r="E964">
        <v>7067591</v>
      </c>
    </row>
    <row r="965" spans="1:5" x14ac:dyDescent="0.3">
      <c r="A965" t="s">
        <v>133</v>
      </c>
      <c r="B965" t="s">
        <v>9</v>
      </c>
      <c r="C965">
        <v>8742952</v>
      </c>
      <c r="D965">
        <v>215439</v>
      </c>
      <c r="E965">
        <v>7519509</v>
      </c>
    </row>
    <row r="966" spans="1:5" x14ac:dyDescent="0.3">
      <c r="A966" t="s">
        <v>133</v>
      </c>
      <c r="B966" t="s">
        <v>10</v>
      </c>
      <c r="C966">
        <v>10956512</v>
      </c>
      <c r="D966">
        <v>156388</v>
      </c>
      <c r="E966">
        <v>8429325</v>
      </c>
    </row>
    <row r="967" spans="1:5" x14ac:dyDescent="0.3">
      <c r="A967" t="s">
        <v>133</v>
      </c>
      <c r="B967" t="s">
        <v>11</v>
      </c>
      <c r="C967">
        <v>18347499</v>
      </c>
      <c r="D967">
        <v>383656</v>
      </c>
      <c r="E967">
        <v>14915786</v>
      </c>
    </row>
    <row r="968" spans="1:5" x14ac:dyDescent="0.3">
      <c r="A968" t="s">
        <v>133</v>
      </c>
      <c r="B968" t="s">
        <v>12</v>
      </c>
      <c r="C968">
        <v>16744650</v>
      </c>
      <c r="D968">
        <v>298751</v>
      </c>
      <c r="E968">
        <v>14193269</v>
      </c>
    </row>
    <row r="969" spans="1:5" x14ac:dyDescent="0.3">
      <c r="A969" t="s">
        <v>133</v>
      </c>
      <c r="B969" t="s">
        <v>13</v>
      </c>
      <c r="C969">
        <v>19818698</v>
      </c>
      <c r="D969">
        <v>210292</v>
      </c>
      <c r="E969">
        <v>15136415</v>
      </c>
    </row>
    <row r="970" spans="1:5" x14ac:dyDescent="0.3">
      <c r="A970" t="s">
        <v>134</v>
      </c>
      <c r="B970" t="s">
        <v>6</v>
      </c>
      <c r="C970">
        <v>18823924</v>
      </c>
      <c r="D970">
        <v>560397</v>
      </c>
      <c r="E970">
        <v>13362404</v>
      </c>
    </row>
    <row r="971" spans="1:5" x14ac:dyDescent="0.3">
      <c r="A971" t="s">
        <v>134</v>
      </c>
      <c r="B971" t="s">
        <v>7</v>
      </c>
      <c r="C971">
        <v>9787776</v>
      </c>
      <c r="D971">
        <v>99892</v>
      </c>
      <c r="E971">
        <v>7270787</v>
      </c>
    </row>
    <row r="972" spans="1:5" x14ac:dyDescent="0.3">
      <c r="A972" t="s">
        <v>134</v>
      </c>
      <c r="B972" t="s">
        <v>8</v>
      </c>
      <c r="C972">
        <v>8639769</v>
      </c>
      <c r="D972">
        <v>146485</v>
      </c>
      <c r="E972">
        <v>6861726</v>
      </c>
    </row>
    <row r="973" spans="1:5" x14ac:dyDescent="0.3">
      <c r="A973" t="s">
        <v>134</v>
      </c>
      <c r="B973" t="s">
        <v>9</v>
      </c>
      <c r="C973">
        <v>8766793</v>
      </c>
      <c r="D973">
        <v>175555</v>
      </c>
      <c r="E973">
        <v>7321635</v>
      </c>
    </row>
    <row r="974" spans="1:5" x14ac:dyDescent="0.3">
      <c r="A974" t="s">
        <v>134</v>
      </c>
      <c r="B974" t="s">
        <v>10</v>
      </c>
      <c r="C974">
        <v>10977923</v>
      </c>
      <c r="D974">
        <v>233579</v>
      </c>
      <c r="E974">
        <v>8480894</v>
      </c>
    </row>
    <row r="975" spans="1:5" x14ac:dyDescent="0.3">
      <c r="A975" t="s">
        <v>134</v>
      </c>
      <c r="B975" t="s">
        <v>11</v>
      </c>
      <c r="C975">
        <v>18350250</v>
      </c>
      <c r="D975">
        <v>365947</v>
      </c>
      <c r="E975">
        <v>16507372</v>
      </c>
    </row>
    <row r="976" spans="1:5" x14ac:dyDescent="0.3">
      <c r="A976" t="s">
        <v>134</v>
      </c>
      <c r="B976" t="s">
        <v>12</v>
      </c>
      <c r="C976">
        <v>16783022</v>
      </c>
      <c r="D976">
        <v>399435</v>
      </c>
      <c r="E976">
        <v>13128910</v>
      </c>
    </row>
    <row r="977" spans="1:5" x14ac:dyDescent="0.3">
      <c r="A977" t="s">
        <v>134</v>
      </c>
      <c r="B977" t="s">
        <v>13</v>
      </c>
      <c r="C977">
        <v>19854181</v>
      </c>
      <c r="D977">
        <v>433033</v>
      </c>
      <c r="E977">
        <v>15378007</v>
      </c>
    </row>
    <row r="978" spans="1:5" x14ac:dyDescent="0.3">
      <c r="A978" t="s">
        <v>135</v>
      </c>
      <c r="B978" t="s">
        <v>6</v>
      </c>
      <c r="C978">
        <v>18832229</v>
      </c>
      <c r="D978">
        <v>546200</v>
      </c>
      <c r="E978">
        <v>13664220</v>
      </c>
    </row>
    <row r="979" spans="1:5" x14ac:dyDescent="0.3">
      <c r="A979" t="s">
        <v>135</v>
      </c>
      <c r="B979" t="s">
        <v>7</v>
      </c>
      <c r="C979">
        <v>9793143</v>
      </c>
      <c r="D979">
        <v>241923</v>
      </c>
      <c r="E979">
        <v>7843094</v>
      </c>
    </row>
    <row r="980" spans="1:5" x14ac:dyDescent="0.3">
      <c r="A980" t="s">
        <v>135</v>
      </c>
      <c r="B980" t="s">
        <v>8</v>
      </c>
      <c r="C980">
        <v>8644933</v>
      </c>
      <c r="D980">
        <v>167326</v>
      </c>
      <c r="E980">
        <v>7727916</v>
      </c>
    </row>
    <row r="981" spans="1:5" x14ac:dyDescent="0.3">
      <c r="A981" t="s">
        <v>135</v>
      </c>
      <c r="B981" t="s">
        <v>9</v>
      </c>
      <c r="C981">
        <v>8815122</v>
      </c>
      <c r="D981">
        <v>118729</v>
      </c>
      <c r="E981">
        <v>7092394</v>
      </c>
    </row>
    <row r="982" spans="1:5" x14ac:dyDescent="0.3">
      <c r="A982" t="s">
        <v>135</v>
      </c>
      <c r="B982" t="s">
        <v>10</v>
      </c>
      <c r="C982">
        <v>10996357</v>
      </c>
      <c r="D982">
        <v>308149</v>
      </c>
      <c r="E982">
        <v>8311061</v>
      </c>
    </row>
    <row r="983" spans="1:5" x14ac:dyDescent="0.3">
      <c r="A983" t="s">
        <v>135</v>
      </c>
      <c r="B983" t="s">
        <v>11</v>
      </c>
      <c r="C983">
        <v>18387081</v>
      </c>
      <c r="D983">
        <v>488315</v>
      </c>
      <c r="E983">
        <v>16230266</v>
      </c>
    </row>
    <row r="984" spans="1:5" x14ac:dyDescent="0.3">
      <c r="A984" t="s">
        <v>135</v>
      </c>
      <c r="B984" t="s">
        <v>12</v>
      </c>
      <c r="C984">
        <v>16799162</v>
      </c>
      <c r="D984">
        <v>378424</v>
      </c>
      <c r="E984">
        <v>11937242</v>
      </c>
    </row>
    <row r="985" spans="1:5" x14ac:dyDescent="0.3">
      <c r="A985" t="s">
        <v>135</v>
      </c>
      <c r="B985" t="s">
        <v>13</v>
      </c>
      <c r="C985">
        <v>19901305</v>
      </c>
      <c r="D985">
        <v>289986</v>
      </c>
      <c r="E985">
        <v>14364144</v>
      </c>
    </row>
    <row r="986" spans="1:5" x14ac:dyDescent="0.3">
      <c r="A986" t="s">
        <v>136</v>
      </c>
      <c r="B986" t="s">
        <v>6</v>
      </c>
      <c r="C986">
        <v>18876434</v>
      </c>
      <c r="D986">
        <v>472697</v>
      </c>
      <c r="E986">
        <v>16284790</v>
      </c>
    </row>
    <row r="987" spans="1:5" x14ac:dyDescent="0.3">
      <c r="A987" t="s">
        <v>136</v>
      </c>
      <c r="B987" t="s">
        <v>7</v>
      </c>
      <c r="C987">
        <v>9801271</v>
      </c>
      <c r="D987">
        <v>133598</v>
      </c>
      <c r="E987">
        <v>7314807</v>
      </c>
    </row>
    <row r="988" spans="1:5" x14ac:dyDescent="0.3">
      <c r="A988" t="s">
        <v>136</v>
      </c>
      <c r="B988" t="s">
        <v>8</v>
      </c>
      <c r="C988">
        <v>8658607</v>
      </c>
      <c r="D988">
        <v>238973</v>
      </c>
      <c r="E988">
        <v>7186300</v>
      </c>
    </row>
    <row r="989" spans="1:5" x14ac:dyDescent="0.3">
      <c r="A989" t="s">
        <v>136</v>
      </c>
      <c r="B989" t="s">
        <v>9</v>
      </c>
      <c r="C989">
        <v>8837214</v>
      </c>
      <c r="D989">
        <v>158158</v>
      </c>
      <c r="E989">
        <v>7784850</v>
      </c>
    </row>
    <row r="990" spans="1:5" x14ac:dyDescent="0.3">
      <c r="A990" t="s">
        <v>136</v>
      </c>
      <c r="B990" t="s">
        <v>10</v>
      </c>
      <c r="C990">
        <v>11045029</v>
      </c>
      <c r="D990">
        <v>329743</v>
      </c>
      <c r="E990">
        <v>9852239</v>
      </c>
    </row>
    <row r="991" spans="1:5" x14ac:dyDescent="0.3">
      <c r="A991" t="s">
        <v>136</v>
      </c>
      <c r="B991" t="s">
        <v>11</v>
      </c>
      <c r="C991">
        <v>18432602</v>
      </c>
      <c r="D991">
        <v>247092</v>
      </c>
      <c r="E991">
        <v>13713048</v>
      </c>
    </row>
    <row r="992" spans="1:5" x14ac:dyDescent="0.3">
      <c r="A992" t="s">
        <v>136</v>
      </c>
      <c r="B992" t="s">
        <v>12</v>
      </c>
      <c r="C992">
        <v>16843790</v>
      </c>
      <c r="D992">
        <v>478776</v>
      </c>
      <c r="E992">
        <v>14561762</v>
      </c>
    </row>
    <row r="993" spans="1:5" x14ac:dyDescent="0.3">
      <c r="A993" t="s">
        <v>136</v>
      </c>
      <c r="B993" t="s">
        <v>13</v>
      </c>
      <c r="C993">
        <v>19913405</v>
      </c>
      <c r="D993">
        <v>342358</v>
      </c>
      <c r="E993">
        <v>13980453</v>
      </c>
    </row>
    <row r="994" spans="1:5" x14ac:dyDescent="0.3">
      <c r="A994" t="s">
        <v>137</v>
      </c>
      <c r="B994" t="s">
        <v>6</v>
      </c>
      <c r="C994">
        <v>18908644</v>
      </c>
      <c r="D994">
        <v>317335</v>
      </c>
      <c r="E994">
        <v>15576292</v>
      </c>
    </row>
    <row r="995" spans="1:5" x14ac:dyDescent="0.3">
      <c r="A995" t="s">
        <v>137</v>
      </c>
      <c r="B995" t="s">
        <v>7</v>
      </c>
      <c r="C995">
        <v>9825041</v>
      </c>
      <c r="D995">
        <v>245262</v>
      </c>
      <c r="E995">
        <v>7244191</v>
      </c>
    </row>
    <row r="996" spans="1:5" x14ac:dyDescent="0.3">
      <c r="A996" t="s">
        <v>137</v>
      </c>
      <c r="B996" t="s">
        <v>8</v>
      </c>
      <c r="C996">
        <v>8679431</v>
      </c>
      <c r="D996">
        <v>131283</v>
      </c>
      <c r="E996">
        <v>6411189</v>
      </c>
    </row>
    <row r="997" spans="1:5" x14ac:dyDescent="0.3">
      <c r="A997" t="s">
        <v>137</v>
      </c>
      <c r="B997" t="s">
        <v>9</v>
      </c>
      <c r="C997">
        <v>8859357</v>
      </c>
      <c r="D997">
        <v>264431</v>
      </c>
      <c r="E997">
        <v>6809485</v>
      </c>
    </row>
    <row r="998" spans="1:5" x14ac:dyDescent="0.3">
      <c r="A998" t="s">
        <v>137</v>
      </c>
      <c r="B998" t="s">
        <v>10</v>
      </c>
      <c r="C998">
        <v>11046328</v>
      </c>
      <c r="D998">
        <v>155677</v>
      </c>
      <c r="E998">
        <v>8492399</v>
      </c>
    </row>
    <row r="999" spans="1:5" x14ac:dyDescent="0.3">
      <c r="A999" t="s">
        <v>137</v>
      </c>
      <c r="B999" t="s">
        <v>11</v>
      </c>
      <c r="C999">
        <v>18440143</v>
      </c>
      <c r="D999">
        <v>272204</v>
      </c>
      <c r="E999">
        <v>13231443</v>
      </c>
    </row>
    <row r="1000" spans="1:5" x14ac:dyDescent="0.3">
      <c r="A1000" t="s">
        <v>137</v>
      </c>
      <c r="B1000" t="s">
        <v>12</v>
      </c>
      <c r="C1000">
        <v>16859708</v>
      </c>
      <c r="D1000">
        <v>291862</v>
      </c>
      <c r="E1000">
        <v>12902102</v>
      </c>
    </row>
    <row r="1001" spans="1:5" x14ac:dyDescent="0.3">
      <c r="A1001" t="s">
        <v>137</v>
      </c>
      <c r="B1001" t="s">
        <v>13</v>
      </c>
      <c r="C1001">
        <v>19937193</v>
      </c>
      <c r="D1001">
        <v>530900</v>
      </c>
      <c r="E1001">
        <v>16214651</v>
      </c>
    </row>
    <row r="1002" spans="1:5" x14ac:dyDescent="0.3">
      <c r="A1002" t="s">
        <v>138</v>
      </c>
      <c r="B1002" t="s">
        <v>6</v>
      </c>
      <c r="C1002">
        <v>18934245</v>
      </c>
      <c r="D1002">
        <v>272839</v>
      </c>
      <c r="E1002">
        <v>15503371</v>
      </c>
    </row>
    <row r="1003" spans="1:5" x14ac:dyDescent="0.3">
      <c r="A1003" t="s">
        <v>138</v>
      </c>
      <c r="B1003" t="s">
        <v>7</v>
      </c>
      <c r="C1003">
        <v>9860890</v>
      </c>
      <c r="D1003">
        <v>182632</v>
      </c>
      <c r="E1003">
        <v>6962865</v>
      </c>
    </row>
    <row r="1004" spans="1:5" x14ac:dyDescent="0.3">
      <c r="A1004" t="s">
        <v>138</v>
      </c>
      <c r="B1004" t="s">
        <v>8</v>
      </c>
      <c r="C1004">
        <v>8716028</v>
      </c>
      <c r="D1004">
        <v>158368</v>
      </c>
      <c r="E1004">
        <v>7260252</v>
      </c>
    </row>
    <row r="1005" spans="1:5" x14ac:dyDescent="0.3">
      <c r="A1005" t="s">
        <v>138</v>
      </c>
      <c r="B1005" t="s">
        <v>9</v>
      </c>
      <c r="C1005">
        <v>8865883</v>
      </c>
      <c r="D1005">
        <v>122868</v>
      </c>
      <c r="E1005">
        <v>7239800</v>
      </c>
    </row>
    <row r="1006" spans="1:5" x14ac:dyDescent="0.3">
      <c r="A1006" t="s">
        <v>138</v>
      </c>
      <c r="B1006" t="s">
        <v>10</v>
      </c>
      <c r="C1006">
        <v>11056970</v>
      </c>
      <c r="D1006">
        <v>185235</v>
      </c>
      <c r="E1006">
        <v>9939148</v>
      </c>
    </row>
    <row r="1007" spans="1:5" x14ac:dyDescent="0.3">
      <c r="A1007" t="s">
        <v>138</v>
      </c>
      <c r="B1007" t="s">
        <v>11</v>
      </c>
      <c r="C1007">
        <v>18485541</v>
      </c>
      <c r="D1007">
        <v>252365</v>
      </c>
      <c r="E1007">
        <v>16343889</v>
      </c>
    </row>
    <row r="1008" spans="1:5" x14ac:dyDescent="0.3">
      <c r="A1008" t="s">
        <v>138</v>
      </c>
      <c r="B1008" t="s">
        <v>12</v>
      </c>
      <c r="C1008">
        <v>16869652</v>
      </c>
      <c r="D1008">
        <v>229916</v>
      </c>
      <c r="E1008">
        <v>14379160</v>
      </c>
    </row>
    <row r="1009" spans="1:5" x14ac:dyDescent="0.3">
      <c r="A1009" t="s">
        <v>138</v>
      </c>
      <c r="B1009" t="s">
        <v>13</v>
      </c>
      <c r="C1009">
        <v>19973312</v>
      </c>
      <c r="D1009">
        <v>381060</v>
      </c>
      <c r="E1009">
        <v>16608158</v>
      </c>
    </row>
    <row r="1010" spans="1:5" x14ac:dyDescent="0.3">
      <c r="A1010" t="s">
        <v>139</v>
      </c>
      <c r="B1010" t="s">
        <v>6</v>
      </c>
      <c r="C1010">
        <v>18953652</v>
      </c>
      <c r="D1010">
        <v>559616</v>
      </c>
      <c r="E1010">
        <v>13515767</v>
      </c>
    </row>
    <row r="1011" spans="1:5" x14ac:dyDescent="0.3">
      <c r="A1011" t="s">
        <v>139</v>
      </c>
      <c r="B1011" t="s">
        <v>7</v>
      </c>
      <c r="C1011">
        <v>9890932</v>
      </c>
      <c r="D1011">
        <v>250604</v>
      </c>
      <c r="E1011">
        <v>8793771</v>
      </c>
    </row>
    <row r="1012" spans="1:5" x14ac:dyDescent="0.3">
      <c r="A1012" t="s">
        <v>139</v>
      </c>
      <c r="B1012" t="s">
        <v>8</v>
      </c>
      <c r="C1012">
        <v>8740322</v>
      </c>
      <c r="D1012">
        <v>148094</v>
      </c>
      <c r="E1012">
        <v>6266910</v>
      </c>
    </row>
    <row r="1013" spans="1:5" x14ac:dyDescent="0.3">
      <c r="A1013" t="s">
        <v>139</v>
      </c>
      <c r="B1013" t="s">
        <v>9</v>
      </c>
      <c r="C1013">
        <v>8890009</v>
      </c>
      <c r="D1013">
        <v>206184</v>
      </c>
      <c r="E1013">
        <v>6614109</v>
      </c>
    </row>
    <row r="1014" spans="1:5" x14ac:dyDescent="0.3">
      <c r="A1014" t="s">
        <v>139</v>
      </c>
      <c r="B1014" t="s">
        <v>10</v>
      </c>
      <c r="C1014">
        <v>11098434</v>
      </c>
      <c r="D1014">
        <v>142058</v>
      </c>
      <c r="E1014">
        <v>7848264</v>
      </c>
    </row>
    <row r="1015" spans="1:5" x14ac:dyDescent="0.3">
      <c r="A1015" t="s">
        <v>139</v>
      </c>
      <c r="B1015" t="s">
        <v>11</v>
      </c>
      <c r="C1015">
        <v>18524319</v>
      </c>
      <c r="D1015">
        <v>339309</v>
      </c>
      <c r="E1015">
        <v>13614301</v>
      </c>
    </row>
    <row r="1016" spans="1:5" x14ac:dyDescent="0.3">
      <c r="A1016" t="s">
        <v>139</v>
      </c>
      <c r="B1016" t="s">
        <v>12</v>
      </c>
      <c r="C1016">
        <v>16889635</v>
      </c>
      <c r="D1016">
        <v>296184</v>
      </c>
      <c r="E1016">
        <v>13667664</v>
      </c>
    </row>
    <row r="1017" spans="1:5" x14ac:dyDescent="0.3">
      <c r="A1017" t="s">
        <v>139</v>
      </c>
      <c r="B1017" t="s">
        <v>13</v>
      </c>
      <c r="C1017">
        <v>19989596</v>
      </c>
      <c r="D1017">
        <v>259211</v>
      </c>
      <c r="E1017">
        <v>15097011</v>
      </c>
    </row>
    <row r="1018" spans="1:5" x14ac:dyDescent="0.3">
      <c r="A1018" t="s">
        <v>140</v>
      </c>
      <c r="B1018" t="s">
        <v>6</v>
      </c>
      <c r="C1018">
        <v>18963931</v>
      </c>
      <c r="D1018">
        <v>478159</v>
      </c>
      <c r="E1018">
        <v>16849423</v>
      </c>
    </row>
    <row r="1019" spans="1:5" x14ac:dyDescent="0.3">
      <c r="A1019" t="s">
        <v>140</v>
      </c>
      <c r="B1019" t="s">
        <v>7</v>
      </c>
      <c r="C1019">
        <v>9898449</v>
      </c>
      <c r="D1019">
        <v>99029</v>
      </c>
      <c r="E1019">
        <v>7542985</v>
      </c>
    </row>
    <row r="1020" spans="1:5" x14ac:dyDescent="0.3">
      <c r="A1020" t="s">
        <v>140</v>
      </c>
      <c r="B1020" t="s">
        <v>8</v>
      </c>
      <c r="C1020">
        <v>8745295</v>
      </c>
      <c r="D1020">
        <v>170656</v>
      </c>
      <c r="E1020">
        <v>7186995</v>
      </c>
    </row>
    <row r="1021" spans="1:5" x14ac:dyDescent="0.3">
      <c r="A1021" t="s">
        <v>140</v>
      </c>
      <c r="B1021" t="s">
        <v>9</v>
      </c>
      <c r="C1021">
        <v>8936909</v>
      </c>
      <c r="D1021">
        <v>232626</v>
      </c>
      <c r="E1021">
        <v>7876421</v>
      </c>
    </row>
    <row r="1022" spans="1:5" x14ac:dyDescent="0.3">
      <c r="A1022" t="s">
        <v>140</v>
      </c>
      <c r="B1022" t="s">
        <v>10</v>
      </c>
      <c r="C1022">
        <v>11140530</v>
      </c>
      <c r="D1022">
        <v>321234</v>
      </c>
      <c r="E1022">
        <v>7806399</v>
      </c>
    </row>
    <row r="1023" spans="1:5" x14ac:dyDescent="0.3">
      <c r="A1023" t="s">
        <v>140</v>
      </c>
      <c r="B1023" t="s">
        <v>11</v>
      </c>
      <c r="C1023">
        <v>18533899</v>
      </c>
      <c r="D1023">
        <v>529776</v>
      </c>
      <c r="E1023">
        <v>14856848</v>
      </c>
    </row>
    <row r="1024" spans="1:5" x14ac:dyDescent="0.3">
      <c r="A1024" t="s">
        <v>140</v>
      </c>
      <c r="B1024" t="s">
        <v>12</v>
      </c>
      <c r="C1024">
        <v>16902983</v>
      </c>
      <c r="D1024">
        <v>170586</v>
      </c>
      <c r="E1024">
        <v>11926509</v>
      </c>
    </row>
    <row r="1025" spans="1:5" x14ac:dyDescent="0.3">
      <c r="A1025" t="s">
        <v>140</v>
      </c>
      <c r="B1025" t="s">
        <v>13</v>
      </c>
      <c r="C1025">
        <v>20000356</v>
      </c>
      <c r="D1025">
        <v>451052</v>
      </c>
      <c r="E1025">
        <v>15681001</v>
      </c>
    </row>
    <row r="1026" spans="1:5" x14ac:dyDescent="0.3">
      <c r="A1026" t="s">
        <v>141</v>
      </c>
      <c r="B1026" t="s">
        <v>6</v>
      </c>
      <c r="C1026">
        <v>18976154</v>
      </c>
      <c r="D1026">
        <v>245509</v>
      </c>
      <c r="E1026">
        <v>13661596</v>
      </c>
    </row>
    <row r="1027" spans="1:5" x14ac:dyDescent="0.3">
      <c r="A1027" t="s">
        <v>141</v>
      </c>
      <c r="B1027" t="s">
        <v>7</v>
      </c>
      <c r="C1027">
        <v>9910445</v>
      </c>
      <c r="D1027">
        <v>183283</v>
      </c>
      <c r="E1027">
        <v>8831779</v>
      </c>
    </row>
    <row r="1028" spans="1:5" x14ac:dyDescent="0.3">
      <c r="A1028" t="s">
        <v>141</v>
      </c>
      <c r="B1028" t="s">
        <v>8</v>
      </c>
      <c r="C1028">
        <v>8771089</v>
      </c>
      <c r="D1028">
        <v>208710</v>
      </c>
      <c r="E1028">
        <v>7450043</v>
      </c>
    </row>
    <row r="1029" spans="1:5" x14ac:dyDescent="0.3">
      <c r="A1029" t="s">
        <v>141</v>
      </c>
      <c r="B1029" t="s">
        <v>9</v>
      </c>
      <c r="C1029">
        <v>8968906</v>
      </c>
      <c r="D1029">
        <v>172425</v>
      </c>
      <c r="E1029">
        <v>6846540</v>
      </c>
    </row>
    <row r="1030" spans="1:5" x14ac:dyDescent="0.3">
      <c r="A1030" t="s">
        <v>141</v>
      </c>
      <c r="B1030" t="s">
        <v>10</v>
      </c>
      <c r="C1030">
        <v>11159268</v>
      </c>
      <c r="D1030">
        <v>187384</v>
      </c>
      <c r="E1030">
        <v>9501586</v>
      </c>
    </row>
    <row r="1031" spans="1:5" x14ac:dyDescent="0.3">
      <c r="A1031" t="s">
        <v>141</v>
      </c>
      <c r="B1031" t="s">
        <v>11</v>
      </c>
      <c r="C1031">
        <v>18543630</v>
      </c>
      <c r="D1031">
        <v>198024</v>
      </c>
      <c r="E1031">
        <v>14596656</v>
      </c>
    </row>
    <row r="1032" spans="1:5" x14ac:dyDescent="0.3">
      <c r="A1032" t="s">
        <v>141</v>
      </c>
      <c r="B1032" t="s">
        <v>12</v>
      </c>
      <c r="C1032">
        <v>16914079</v>
      </c>
      <c r="D1032">
        <v>280093</v>
      </c>
      <c r="E1032">
        <v>12080749</v>
      </c>
    </row>
    <row r="1033" spans="1:5" x14ac:dyDescent="0.3">
      <c r="A1033" t="s">
        <v>141</v>
      </c>
      <c r="B1033" t="s">
        <v>13</v>
      </c>
      <c r="C1033">
        <v>20017183</v>
      </c>
      <c r="D1033">
        <v>205901</v>
      </c>
      <c r="E1033">
        <v>17413501</v>
      </c>
    </row>
    <row r="1034" spans="1:5" x14ac:dyDescent="0.3">
      <c r="A1034" t="s">
        <v>142</v>
      </c>
      <c r="B1034" t="s">
        <v>6</v>
      </c>
      <c r="C1034">
        <v>19003979</v>
      </c>
      <c r="D1034">
        <v>462897</v>
      </c>
      <c r="E1034">
        <v>13945788</v>
      </c>
    </row>
    <row r="1035" spans="1:5" x14ac:dyDescent="0.3">
      <c r="A1035" t="s">
        <v>142</v>
      </c>
      <c r="B1035" t="s">
        <v>7</v>
      </c>
      <c r="C1035">
        <v>9923149</v>
      </c>
      <c r="D1035">
        <v>239708</v>
      </c>
      <c r="E1035">
        <v>8293309</v>
      </c>
    </row>
    <row r="1036" spans="1:5" x14ac:dyDescent="0.3">
      <c r="A1036" t="s">
        <v>142</v>
      </c>
      <c r="B1036" t="s">
        <v>8</v>
      </c>
      <c r="C1036">
        <v>8787943</v>
      </c>
      <c r="D1036">
        <v>175287</v>
      </c>
      <c r="E1036">
        <v>6903013</v>
      </c>
    </row>
    <row r="1037" spans="1:5" x14ac:dyDescent="0.3">
      <c r="A1037" t="s">
        <v>142</v>
      </c>
      <c r="B1037" t="s">
        <v>9</v>
      </c>
      <c r="C1037">
        <v>9012167</v>
      </c>
      <c r="D1037">
        <v>209237</v>
      </c>
      <c r="E1037">
        <v>7389418</v>
      </c>
    </row>
    <row r="1038" spans="1:5" x14ac:dyDescent="0.3">
      <c r="A1038" t="s">
        <v>142</v>
      </c>
      <c r="B1038" t="s">
        <v>10</v>
      </c>
      <c r="C1038">
        <v>11179187</v>
      </c>
      <c r="D1038">
        <v>257265</v>
      </c>
      <c r="E1038">
        <v>10035519</v>
      </c>
    </row>
    <row r="1039" spans="1:5" x14ac:dyDescent="0.3">
      <c r="A1039" t="s">
        <v>142</v>
      </c>
      <c r="B1039" t="s">
        <v>11</v>
      </c>
      <c r="C1039">
        <v>18557490</v>
      </c>
      <c r="D1039">
        <v>546051</v>
      </c>
      <c r="E1039">
        <v>14094768</v>
      </c>
    </row>
    <row r="1040" spans="1:5" x14ac:dyDescent="0.3">
      <c r="A1040" t="s">
        <v>142</v>
      </c>
      <c r="B1040" t="s">
        <v>12</v>
      </c>
      <c r="C1040">
        <v>16926963</v>
      </c>
      <c r="D1040">
        <v>194915</v>
      </c>
      <c r="E1040">
        <v>13072000</v>
      </c>
    </row>
    <row r="1041" spans="1:5" x14ac:dyDescent="0.3">
      <c r="A1041" t="s">
        <v>142</v>
      </c>
      <c r="B1041" t="s">
        <v>13</v>
      </c>
      <c r="C1041">
        <v>20029302</v>
      </c>
      <c r="D1041">
        <v>440386</v>
      </c>
      <c r="E1041">
        <v>14873484</v>
      </c>
    </row>
    <row r="1042" spans="1:5" x14ac:dyDescent="0.3">
      <c r="A1042" t="s">
        <v>143</v>
      </c>
      <c r="B1042" t="s">
        <v>6</v>
      </c>
      <c r="C1042">
        <v>19047695</v>
      </c>
      <c r="D1042">
        <v>256671</v>
      </c>
      <c r="E1042">
        <v>16285177</v>
      </c>
    </row>
    <row r="1043" spans="1:5" x14ac:dyDescent="0.3">
      <c r="A1043" t="s">
        <v>143</v>
      </c>
      <c r="B1043" t="s">
        <v>7</v>
      </c>
      <c r="C1043">
        <v>9957036</v>
      </c>
      <c r="D1043">
        <v>235571</v>
      </c>
      <c r="E1043">
        <v>8168394</v>
      </c>
    </row>
    <row r="1044" spans="1:5" x14ac:dyDescent="0.3">
      <c r="A1044" t="s">
        <v>143</v>
      </c>
      <c r="B1044" t="s">
        <v>8</v>
      </c>
      <c r="C1044">
        <v>8833352</v>
      </c>
      <c r="D1044">
        <v>161413</v>
      </c>
      <c r="E1044">
        <v>7541983</v>
      </c>
    </row>
    <row r="1045" spans="1:5" x14ac:dyDescent="0.3">
      <c r="A1045" t="s">
        <v>143</v>
      </c>
      <c r="B1045" t="s">
        <v>9</v>
      </c>
      <c r="C1045">
        <v>9047015</v>
      </c>
      <c r="D1045">
        <v>235591</v>
      </c>
      <c r="E1045">
        <v>7824312</v>
      </c>
    </row>
    <row r="1046" spans="1:5" x14ac:dyDescent="0.3">
      <c r="A1046" t="s">
        <v>143</v>
      </c>
      <c r="B1046" t="s">
        <v>10</v>
      </c>
      <c r="C1046">
        <v>11191349</v>
      </c>
      <c r="D1046">
        <v>198082</v>
      </c>
      <c r="E1046">
        <v>8304009</v>
      </c>
    </row>
    <row r="1047" spans="1:5" x14ac:dyDescent="0.3">
      <c r="A1047" t="s">
        <v>143</v>
      </c>
      <c r="B1047" t="s">
        <v>11</v>
      </c>
      <c r="C1047">
        <v>18579704</v>
      </c>
      <c r="D1047">
        <v>441890</v>
      </c>
      <c r="E1047">
        <v>16176012</v>
      </c>
    </row>
    <row r="1048" spans="1:5" x14ac:dyDescent="0.3">
      <c r="A1048" t="s">
        <v>143</v>
      </c>
      <c r="B1048" t="s">
        <v>12</v>
      </c>
      <c r="C1048">
        <v>16956991</v>
      </c>
      <c r="D1048">
        <v>198614</v>
      </c>
      <c r="E1048">
        <v>12593544</v>
      </c>
    </row>
    <row r="1049" spans="1:5" x14ac:dyDescent="0.3">
      <c r="A1049" t="s">
        <v>143</v>
      </c>
      <c r="B1049" t="s">
        <v>13</v>
      </c>
      <c r="C1049">
        <v>20075325</v>
      </c>
      <c r="D1049">
        <v>447526</v>
      </c>
      <c r="E1049">
        <v>15130262</v>
      </c>
    </row>
    <row r="1050" spans="1:5" x14ac:dyDescent="0.3">
      <c r="A1050" t="s">
        <v>144</v>
      </c>
      <c r="B1050" t="s">
        <v>6</v>
      </c>
      <c r="C1050">
        <v>19079459</v>
      </c>
      <c r="D1050">
        <v>572106</v>
      </c>
      <c r="E1050">
        <v>15073018</v>
      </c>
    </row>
    <row r="1051" spans="1:5" x14ac:dyDescent="0.3">
      <c r="A1051" t="s">
        <v>144</v>
      </c>
      <c r="B1051" t="s">
        <v>7</v>
      </c>
      <c r="C1051">
        <v>9995516</v>
      </c>
      <c r="D1051">
        <v>109798</v>
      </c>
      <c r="E1051">
        <v>8970373</v>
      </c>
    </row>
    <row r="1052" spans="1:5" x14ac:dyDescent="0.3">
      <c r="A1052" t="s">
        <v>144</v>
      </c>
      <c r="B1052" t="s">
        <v>8</v>
      </c>
      <c r="C1052">
        <v>8864094</v>
      </c>
      <c r="D1052">
        <v>176825</v>
      </c>
      <c r="E1052">
        <v>6573846</v>
      </c>
    </row>
    <row r="1053" spans="1:5" x14ac:dyDescent="0.3">
      <c r="A1053" t="s">
        <v>144</v>
      </c>
      <c r="B1053" t="s">
        <v>9</v>
      </c>
      <c r="C1053">
        <v>9064273</v>
      </c>
      <c r="D1053">
        <v>185617</v>
      </c>
      <c r="E1053">
        <v>7590595</v>
      </c>
    </row>
    <row r="1054" spans="1:5" x14ac:dyDescent="0.3">
      <c r="A1054" t="s">
        <v>144</v>
      </c>
      <c r="B1054" t="s">
        <v>10</v>
      </c>
      <c r="C1054">
        <v>11236754</v>
      </c>
      <c r="D1054">
        <v>328920</v>
      </c>
      <c r="E1054">
        <v>9736665</v>
      </c>
    </row>
    <row r="1055" spans="1:5" x14ac:dyDescent="0.3">
      <c r="A1055" t="s">
        <v>144</v>
      </c>
      <c r="B1055" t="s">
        <v>11</v>
      </c>
      <c r="C1055">
        <v>18623050</v>
      </c>
      <c r="D1055">
        <v>350593</v>
      </c>
      <c r="E1055">
        <v>15047345</v>
      </c>
    </row>
    <row r="1056" spans="1:5" x14ac:dyDescent="0.3">
      <c r="A1056" t="s">
        <v>144</v>
      </c>
      <c r="B1056" t="s">
        <v>12</v>
      </c>
      <c r="C1056">
        <v>16995159</v>
      </c>
      <c r="D1056">
        <v>366775</v>
      </c>
      <c r="E1056">
        <v>14330217</v>
      </c>
    </row>
    <row r="1057" spans="1:5" x14ac:dyDescent="0.3">
      <c r="A1057" t="s">
        <v>144</v>
      </c>
      <c r="B1057" t="s">
        <v>13</v>
      </c>
      <c r="C1057">
        <v>20087683</v>
      </c>
      <c r="D1057">
        <v>330804</v>
      </c>
      <c r="E1057">
        <v>15913973</v>
      </c>
    </row>
    <row r="1058" spans="1:5" x14ac:dyDescent="0.3">
      <c r="A1058" t="s">
        <v>145</v>
      </c>
      <c r="B1058" t="s">
        <v>6</v>
      </c>
      <c r="C1058">
        <v>19113395</v>
      </c>
      <c r="D1058">
        <v>496024</v>
      </c>
      <c r="E1058">
        <v>17145909</v>
      </c>
    </row>
    <row r="1059" spans="1:5" x14ac:dyDescent="0.3">
      <c r="A1059" t="s">
        <v>145</v>
      </c>
      <c r="B1059" t="s">
        <v>7</v>
      </c>
      <c r="C1059">
        <v>10033695</v>
      </c>
      <c r="D1059">
        <v>160698</v>
      </c>
      <c r="E1059">
        <v>8790873</v>
      </c>
    </row>
    <row r="1060" spans="1:5" x14ac:dyDescent="0.3">
      <c r="A1060" t="s">
        <v>145</v>
      </c>
      <c r="B1060" t="s">
        <v>8</v>
      </c>
      <c r="C1060">
        <v>8899897</v>
      </c>
      <c r="D1060">
        <v>158827</v>
      </c>
      <c r="E1060">
        <v>7839681</v>
      </c>
    </row>
    <row r="1061" spans="1:5" x14ac:dyDescent="0.3">
      <c r="A1061" t="s">
        <v>145</v>
      </c>
      <c r="B1061" t="s">
        <v>9</v>
      </c>
      <c r="C1061">
        <v>9085153</v>
      </c>
      <c r="D1061">
        <v>124898</v>
      </c>
      <c r="E1061">
        <v>6740703</v>
      </c>
    </row>
    <row r="1062" spans="1:5" x14ac:dyDescent="0.3">
      <c r="A1062" t="s">
        <v>145</v>
      </c>
      <c r="B1062" t="s">
        <v>10</v>
      </c>
      <c r="C1062">
        <v>11284090</v>
      </c>
      <c r="D1062">
        <v>245565</v>
      </c>
      <c r="E1062">
        <v>9796168</v>
      </c>
    </row>
    <row r="1063" spans="1:5" x14ac:dyDescent="0.3">
      <c r="A1063" t="s">
        <v>145</v>
      </c>
      <c r="B1063" t="s">
        <v>11</v>
      </c>
      <c r="C1063">
        <v>18660219</v>
      </c>
      <c r="D1063">
        <v>262866</v>
      </c>
      <c r="E1063">
        <v>16772651</v>
      </c>
    </row>
    <row r="1064" spans="1:5" x14ac:dyDescent="0.3">
      <c r="A1064" t="s">
        <v>145</v>
      </c>
      <c r="B1064" t="s">
        <v>12</v>
      </c>
      <c r="C1064">
        <v>17003570</v>
      </c>
      <c r="D1064">
        <v>393425</v>
      </c>
      <c r="E1064">
        <v>13612527</v>
      </c>
    </row>
    <row r="1065" spans="1:5" x14ac:dyDescent="0.3">
      <c r="A1065" t="s">
        <v>145</v>
      </c>
      <c r="B1065" t="s">
        <v>13</v>
      </c>
      <c r="C1065">
        <v>20133904</v>
      </c>
      <c r="D1065">
        <v>598700</v>
      </c>
      <c r="E1065">
        <v>14524278</v>
      </c>
    </row>
    <row r="1066" spans="1:5" x14ac:dyDescent="0.3">
      <c r="A1066" t="s">
        <v>146</v>
      </c>
      <c r="B1066" t="s">
        <v>6</v>
      </c>
      <c r="C1066">
        <v>19133142</v>
      </c>
      <c r="D1066">
        <v>459086</v>
      </c>
      <c r="E1066">
        <v>15914196</v>
      </c>
    </row>
    <row r="1067" spans="1:5" x14ac:dyDescent="0.3">
      <c r="A1067" t="s">
        <v>146</v>
      </c>
      <c r="B1067" t="s">
        <v>7</v>
      </c>
      <c r="C1067">
        <v>10069238</v>
      </c>
      <c r="D1067">
        <v>159162</v>
      </c>
      <c r="E1067">
        <v>7250638</v>
      </c>
    </row>
    <row r="1068" spans="1:5" x14ac:dyDescent="0.3">
      <c r="A1068" t="s">
        <v>146</v>
      </c>
      <c r="B1068" t="s">
        <v>8</v>
      </c>
      <c r="C1068">
        <v>8935269</v>
      </c>
      <c r="D1068">
        <v>203393</v>
      </c>
      <c r="E1068">
        <v>6593310</v>
      </c>
    </row>
    <row r="1069" spans="1:5" x14ac:dyDescent="0.3">
      <c r="A1069" t="s">
        <v>146</v>
      </c>
      <c r="B1069" t="s">
        <v>9</v>
      </c>
      <c r="C1069">
        <v>9096981</v>
      </c>
      <c r="D1069">
        <v>271781</v>
      </c>
      <c r="E1069">
        <v>7550836</v>
      </c>
    </row>
    <row r="1070" spans="1:5" x14ac:dyDescent="0.3">
      <c r="A1070" t="s">
        <v>146</v>
      </c>
      <c r="B1070" t="s">
        <v>10</v>
      </c>
      <c r="C1070">
        <v>11316219</v>
      </c>
      <c r="D1070">
        <v>154695</v>
      </c>
      <c r="E1070">
        <v>9201440</v>
      </c>
    </row>
    <row r="1071" spans="1:5" x14ac:dyDescent="0.3">
      <c r="A1071" t="s">
        <v>146</v>
      </c>
      <c r="B1071" t="s">
        <v>11</v>
      </c>
      <c r="C1071">
        <v>18671945</v>
      </c>
      <c r="D1071">
        <v>395893</v>
      </c>
      <c r="E1071">
        <v>13088446</v>
      </c>
    </row>
    <row r="1072" spans="1:5" x14ac:dyDescent="0.3">
      <c r="A1072" t="s">
        <v>146</v>
      </c>
      <c r="B1072" t="s">
        <v>12</v>
      </c>
      <c r="C1072">
        <v>17023566</v>
      </c>
      <c r="D1072">
        <v>354713</v>
      </c>
      <c r="E1072">
        <v>14446931</v>
      </c>
    </row>
    <row r="1073" spans="1:5" x14ac:dyDescent="0.3">
      <c r="A1073" t="s">
        <v>146</v>
      </c>
      <c r="B1073" t="s">
        <v>13</v>
      </c>
      <c r="C1073">
        <v>20174654</v>
      </c>
      <c r="D1073">
        <v>501764</v>
      </c>
      <c r="E1073">
        <v>16666324</v>
      </c>
    </row>
    <row r="1074" spans="1:5" x14ac:dyDescent="0.3">
      <c r="A1074" t="s">
        <v>147</v>
      </c>
      <c r="B1074" t="s">
        <v>6</v>
      </c>
      <c r="C1074">
        <v>19169080</v>
      </c>
      <c r="D1074">
        <v>426205</v>
      </c>
      <c r="E1074">
        <v>15891277</v>
      </c>
    </row>
    <row r="1075" spans="1:5" x14ac:dyDescent="0.3">
      <c r="A1075" t="s">
        <v>147</v>
      </c>
      <c r="B1075" t="s">
        <v>7</v>
      </c>
      <c r="C1075">
        <v>10085480</v>
      </c>
      <c r="D1075">
        <v>286734</v>
      </c>
      <c r="E1075">
        <v>9056555</v>
      </c>
    </row>
    <row r="1076" spans="1:5" x14ac:dyDescent="0.3">
      <c r="A1076" t="s">
        <v>147</v>
      </c>
      <c r="B1076" t="s">
        <v>8</v>
      </c>
      <c r="C1076">
        <v>8970125</v>
      </c>
      <c r="D1076">
        <v>182080</v>
      </c>
      <c r="E1076">
        <v>7067087</v>
      </c>
    </row>
    <row r="1077" spans="1:5" x14ac:dyDescent="0.3">
      <c r="A1077" t="s">
        <v>147</v>
      </c>
      <c r="B1077" t="s">
        <v>9</v>
      </c>
      <c r="C1077">
        <v>9136724</v>
      </c>
      <c r="D1077">
        <v>254966</v>
      </c>
      <c r="E1077">
        <v>6900491</v>
      </c>
    </row>
    <row r="1078" spans="1:5" x14ac:dyDescent="0.3">
      <c r="A1078" t="s">
        <v>147</v>
      </c>
      <c r="B1078" t="s">
        <v>10</v>
      </c>
      <c r="C1078">
        <v>11351672</v>
      </c>
      <c r="D1078">
        <v>302336</v>
      </c>
      <c r="E1078">
        <v>8312218</v>
      </c>
    </row>
    <row r="1079" spans="1:5" x14ac:dyDescent="0.3">
      <c r="A1079" t="s">
        <v>147</v>
      </c>
      <c r="B1079" t="s">
        <v>11</v>
      </c>
      <c r="C1079">
        <v>18696968</v>
      </c>
      <c r="D1079">
        <v>408766</v>
      </c>
      <c r="E1079">
        <v>13713957</v>
      </c>
    </row>
    <row r="1080" spans="1:5" x14ac:dyDescent="0.3">
      <c r="A1080" t="s">
        <v>147</v>
      </c>
      <c r="B1080" t="s">
        <v>12</v>
      </c>
      <c r="C1080">
        <v>17040569</v>
      </c>
      <c r="D1080">
        <v>355583</v>
      </c>
      <c r="E1080">
        <v>14588291</v>
      </c>
    </row>
    <row r="1081" spans="1:5" x14ac:dyDescent="0.3">
      <c r="A1081" t="s">
        <v>147</v>
      </c>
      <c r="B1081" t="s">
        <v>13</v>
      </c>
      <c r="C1081">
        <v>20187392</v>
      </c>
      <c r="D1081">
        <v>263927</v>
      </c>
      <c r="E1081">
        <v>16405172</v>
      </c>
    </row>
    <row r="1082" spans="1:5" x14ac:dyDescent="0.3">
      <c r="A1082" t="s">
        <v>148</v>
      </c>
      <c r="B1082" t="s">
        <v>6</v>
      </c>
      <c r="C1082">
        <v>19205587</v>
      </c>
      <c r="D1082">
        <v>394219</v>
      </c>
      <c r="E1082">
        <v>16560472</v>
      </c>
    </row>
    <row r="1083" spans="1:5" x14ac:dyDescent="0.3">
      <c r="A1083" t="s">
        <v>148</v>
      </c>
      <c r="B1083" t="s">
        <v>7</v>
      </c>
      <c r="C1083">
        <v>10091071</v>
      </c>
      <c r="D1083">
        <v>116464</v>
      </c>
      <c r="E1083">
        <v>8711894</v>
      </c>
    </row>
    <row r="1084" spans="1:5" x14ac:dyDescent="0.3">
      <c r="A1084" t="s">
        <v>148</v>
      </c>
      <c r="B1084" t="s">
        <v>8</v>
      </c>
      <c r="C1084">
        <v>9003456</v>
      </c>
      <c r="D1084">
        <v>144934</v>
      </c>
      <c r="E1084">
        <v>8003363</v>
      </c>
    </row>
    <row r="1085" spans="1:5" x14ac:dyDescent="0.3">
      <c r="A1085" t="s">
        <v>148</v>
      </c>
      <c r="B1085" t="s">
        <v>9</v>
      </c>
      <c r="C1085">
        <v>9169747</v>
      </c>
      <c r="D1085">
        <v>191245</v>
      </c>
      <c r="E1085">
        <v>6493906</v>
      </c>
    </row>
    <row r="1086" spans="1:5" x14ac:dyDescent="0.3">
      <c r="A1086" t="s">
        <v>148</v>
      </c>
      <c r="B1086" t="s">
        <v>10</v>
      </c>
      <c r="C1086">
        <v>11398968</v>
      </c>
      <c r="D1086">
        <v>302309</v>
      </c>
      <c r="E1086">
        <v>8496557</v>
      </c>
    </row>
    <row r="1087" spans="1:5" x14ac:dyDescent="0.3">
      <c r="A1087" t="s">
        <v>148</v>
      </c>
      <c r="B1087" t="s">
        <v>11</v>
      </c>
      <c r="C1087">
        <v>18700389</v>
      </c>
      <c r="D1087">
        <v>361355</v>
      </c>
      <c r="E1087">
        <v>13277342</v>
      </c>
    </row>
    <row r="1088" spans="1:5" x14ac:dyDescent="0.3">
      <c r="A1088" t="s">
        <v>148</v>
      </c>
      <c r="B1088" t="s">
        <v>12</v>
      </c>
      <c r="C1088">
        <v>17056811</v>
      </c>
      <c r="D1088">
        <v>457193</v>
      </c>
      <c r="E1088">
        <v>15036000</v>
      </c>
    </row>
    <row r="1089" spans="1:5" x14ac:dyDescent="0.3">
      <c r="A1089" t="s">
        <v>148</v>
      </c>
      <c r="B1089" t="s">
        <v>13</v>
      </c>
      <c r="C1089">
        <v>20205323</v>
      </c>
      <c r="D1089">
        <v>439706</v>
      </c>
      <c r="E1089">
        <v>16593007</v>
      </c>
    </row>
    <row r="1090" spans="1:5" x14ac:dyDescent="0.3">
      <c r="A1090" t="s">
        <v>149</v>
      </c>
      <c r="B1090" t="s">
        <v>6</v>
      </c>
      <c r="C1090">
        <v>19245673</v>
      </c>
      <c r="D1090">
        <v>319423</v>
      </c>
      <c r="E1090">
        <v>13974447</v>
      </c>
    </row>
    <row r="1091" spans="1:5" x14ac:dyDescent="0.3">
      <c r="A1091" t="s">
        <v>149</v>
      </c>
      <c r="B1091" t="s">
        <v>7</v>
      </c>
      <c r="C1091">
        <v>10112887</v>
      </c>
      <c r="D1091">
        <v>108649</v>
      </c>
      <c r="E1091">
        <v>7465039</v>
      </c>
    </row>
    <row r="1092" spans="1:5" x14ac:dyDescent="0.3">
      <c r="A1092" t="s">
        <v>149</v>
      </c>
      <c r="B1092" t="s">
        <v>8</v>
      </c>
      <c r="C1092">
        <v>9037913</v>
      </c>
      <c r="D1092">
        <v>184831</v>
      </c>
      <c r="E1092">
        <v>8019033</v>
      </c>
    </row>
    <row r="1093" spans="1:5" x14ac:dyDescent="0.3">
      <c r="A1093" t="s">
        <v>149</v>
      </c>
      <c r="B1093" t="s">
        <v>9</v>
      </c>
      <c r="C1093">
        <v>9181605</v>
      </c>
      <c r="D1093">
        <v>103292</v>
      </c>
      <c r="E1093">
        <v>6867788</v>
      </c>
    </row>
    <row r="1094" spans="1:5" x14ac:dyDescent="0.3">
      <c r="A1094" t="s">
        <v>149</v>
      </c>
      <c r="B1094" t="s">
        <v>10</v>
      </c>
      <c r="C1094">
        <v>11448087</v>
      </c>
      <c r="D1094">
        <v>116303</v>
      </c>
      <c r="E1094">
        <v>9573284</v>
      </c>
    </row>
    <row r="1095" spans="1:5" x14ac:dyDescent="0.3">
      <c r="A1095" t="s">
        <v>149</v>
      </c>
      <c r="B1095" t="s">
        <v>11</v>
      </c>
      <c r="C1095">
        <v>18709259</v>
      </c>
      <c r="D1095">
        <v>260124</v>
      </c>
      <c r="E1095">
        <v>16258700</v>
      </c>
    </row>
    <row r="1096" spans="1:5" x14ac:dyDescent="0.3">
      <c r="A1096" t="s">
        <v>149</v>
      </c>
      <c r="B1096" t="s">
        <v>12</v>
      </c>
      <c r="C1096">
        <v>17085857</v>
      </c>
      <c r="D1096">
        <v>450060</v>
      </c>
      <c r="E1096">
        <v>13521993</v>
      </c>
    </row>
    <row r="1097" spans="1:5" x14ac:dyDescent="0.3">
      <c r="A1097" t="s">
        <v>149</v>
      </c>
      <c r="B1097" t="s">
        <v>13</v>
      </c>
      <c r="C1097">
        <v>20251740</v>
      </c>
      <c r="D1097">
        <v>534431</v>
      </c>
      <c r="E1097">
        <v>15977943</v>
      </c>
    </row>
    <row r="1098" spans="1:5" x14ac:dyDescent="0.3">
      <c r="A1098" t="s">
        <v>150</v>
      </c>
      <c r="B1098" t="s">
        <v>6</v>
      </c>
      <c r="C1098">
        <v>19256361</v>
      </c>
      <c r="D1098">
        <v>570944</v>
      </c>
      <c r="E1098">
        <v>16836145</v>
      </c>
    </row>
    <row r="1099" spans="1:5" x14ac:dyDescent="0.3">
      <c r="A1099" t="s">
        <v>150</v>
      </c>
      <c r="B1099" t="s">
        <v>7</v>
      </c>
      <c r="C1099">
        <v>10128941</v>
      </c>
      <c r="D1099">
        <v>249155</v>
      </c>
      <c r="E1099">
        <v>7191224</v>
      </c>
    </row>
    <row r="1100" spans="1:5" x14ac:dyDescent="0.3">
      <c r="A1100" t="s">
        <v>150</v>
      </c>
      <c r="B1100" t="s">
        <v>8</v>
      </c>
      <c r="C1100">
        <v>9082118</v>
      </c>
      <c r="D1100">
        <v>171519</v>
      </c>
      <c r="E1100">
        <v>6576992</v>
      </c>
    </row>
    <row r="1101" spans="1:5" x14ac:dyDescent="0.3">
      <c r="A1101" t="s">
        <v>150</v>
      </c>
      <c r="B1101" t="s">
        <v>9</v>
      </c>
      <c r="C1101">
        <v>9188955</v>
      </c>
      <c r="D1101">
        <v>179746</v>
      </c>
      <c r="E1101">
        <v>6786058</v>
      </c>
    </row>
    <row r="1102" spans="1:5" x14ac:dyDescent="0.3">
      <c r="A1102" t="s">
        <v>150</v>
      </c>
      <c r="B1102" t="s">
        <v>10</v>
      </c>
      <c r="C1102">
        <v>11452641</v>
      </c>
      <c r="D1102">
        <v>280513</v>
      </c>
      <c r="E1102">
        <v>10257819</v>
      </c>
    </row>
    <row r="1103" spans="1:5" x14ac:dyDescent="0.3">
      <c r="A1103" t="s">
        <v>150</v>
      </c>
      <c r="B1103" t="s">
        <v>11</v>
      </c>
      <c r="C1103">
        <v>18746041</v>
      </c>
      <c r="D1103">
        <v>338729</v>
      </c>
      <c r="E1103">
        <v>16412690</v>
      </c>
    </row>
    <row r="1104" spans="1:5" x14ac:dyDescent="0.3">
      <c r="A1104" t="s">
        <v>150</v>
      </c>
      <c r="B1104" t="s">
        <v>12</v>
      </c>
      <c r="C1104">
        <v>17106865</v>
      </c>
      <c r="D1104">
        <v>298146</v>
      </c>
      <c r="E1104">
        <v>13544279</v>
      </c>
    </row>
    <row r="1105" spans="1:5" x14ac:dyDescent="0.3">
      <c r="A1105" t="s">
        <v>150</v>
      </c>
      <c r="B1105" t="s">
        <v>13</v>
      </c>
      <c r="C1105">
        <v>20275012</v>
      </c>
      <c r="D1105">
        <v>217703</v>
      </c>
      <c r="E1105">
        <v>17306094</v>
      </c>
    </row>
    <row r="1106" spans="1:5" x14ac:dyDescent="0.3">
      <c r="A1106" t="s">
        <v>151</v>
      </c>
      <c r="B1106" t="s">
        <v>6</v>
      </c>
      <c r="C1106">
        <v>19284752</v>
      </c>
      <c r="D1106">
        <v>433198</v>
      </c>
      <c r="E1106">
        <v>14674047</v>
      </c>
    </row>
    <row r="1107" spans="1:5" x14ac:dyDescent="0.3">
      <c r="A1107" t="s">
        <v>151</v>
      </c>
      <c r="B1107" t="s">
        <v>7</v>
      </c>
      <c r="C1107">
        <v>10158511</v>
      </c>
      <c r="D1107">
        <v>295670</v>
      </c>
      <c r="E1107">
        <v>8025945</v>
      </c>
    </row>
    <row r="1108" spans="1:5" x14ac:dyDescent="0.3">
      <c r="A1108" t="s">
        <v>151</v>
      </c>
      <c r="B1108" t="s">
        <v>8</v>
      </c>
      <c r="C1108">
        <v>9121314</v>
      </c>
      <c r="D1108">
        <v>214132</v>
      </c>
      <c r="E1108">
        <v>6768536</v>
      </c>
    </row>
    <row r="1109" spans="1:5" x14ac:dyDescent="0.3">
      <c r="A1109" t="s">
        <v>151</v>
      </c>
      <c r="B1109" t="s">
        <v>9</v>
      </c>
      <c r="C1109">
        <v>9204875</v>
      </c>
      <c r="D1109">
        <v>99780</v>
      </c>
      <c r="E1109">
        <v>8040627</v>
      </c>
    </row>
    <row r="1110" spans="1:5" x14ac:dyDescent="0.3">
      <c r="A1110" t="s">
        <v>151</v>
      </c>
      <c r="B1110" t="s">
        <v>10</v>
      </c>
      <c r="C1110">
        <v>11464599</v>
      </c>
      <c r="D1110">
        <v>155365</v>
      </c>
      <c r="E1110">
        <v>9219449</v>
      </c>
    </row>
    <row r="1111" spans="1:5" x14ac:dyDescent="0.3">
      <c r="A1111" t="s">
        <v>151</v>
      </c>
      <c r="B1111" t="s">
        <v>11</v>
      </c>
      <c r="C1111">
        <v>18764087</v>
      </c>
      <c r="D1111">
        <v>207647</v>
      </c>
      <c r="E1111">
        <v>16577848</v>
      </c>
    </row>
    <row r="1112" spans="1:5" x14ac:dyDescent="0.3">
      <c r="A1112" t="s">
        <v>151</v>
      </c>
      <c r="B1112" t="s">
        <v>12</v>
      </c>
      <c r="C1112">
        <v>17137096</v>
      </c>
      <c r="D1112">
        <v>326832</v>
      </c>
      <c r="E1112">
        <v>13323521</v>
      </c>
    </row>
    <row r="1113" spans="1:5" x14ac:dyDescent="0.3">
      <c r="A1113" t="s">
        <v>151</v>
      </c>
      <c r="B1113" t="s">
        <v>13</v>
      </c>
      <c r="C1113">
        <v>20322031</v>
      </c>
      <c r="D1113">
        <v>255233</v>
      </c>
      <c r="E1113">
        <v>16529262</v>
      </c>
    </row>
    <row r="1114" spans="1:5" x14ac:dyDescent="0.3">
      <c r="A1114" t="s">
        <v>152</v>
      </c>
      <c r="B1114" t="s">
        <v>6</v>
      </c>
      <c r="C1114">
        <v>19303096</v>
      </c>
      <c r="D1114">
        <v>404152</v>
      </c>
      <c r="E1114">
        <v>16743165</v>
      </c>
    </row>
    <row r="1115" spans="1:5" x14ac:dyDescent="0.3">
      <c r="A1115" t="s">
        <v>152</v>
      </c>
      <c r="B1115" t="s">
        <v>7</v>
      </c>
      <c r="C1115">
        <v>10178972</v>
      </c>
      <c r="D1115">
        <v>169101</v>
      </c>
      <c r="E1115">
        <v>8238364</v>
      </c>
    </row>
    <row r="1116" spans="1:5" x14ac:dyDescent="0.3">
      <c r="A1116" t="s">
        <v>152</v>
      </c>
      <c r="B1116" t="s">
        <v>8</v>
      </c>
      <c r="C1116">
        <v>9123862</v>
      </c>
      <c r="D1116">
        <v>196924</v>
      </c>
      <c r="E1116">
        <v>7834586</v>
      </c>
    </row>
    <row r="1117" spans="1:5" x14ac:dyDescent="0.3">
      <c r="A1117" t="s">
        <v>152</v>
      </c>
      <c r="B1117" t="s">
        <v>9</v>
      </c>
      <c r="C1117">
        <v>9215323</v>
      </c>
      <c r="D1117">
        <v>160523</v>
      </c>
      <c r="E1117">
        <v>6614161</v>
      </c>
    </row>
    <row r="1118" spans="1:5" x14ac:dyDescent="0.3">
      <c r="A1118" t="s">
        <v>152</v>
      </c>
      <c r="B1118" t="s">
        <v>10</v>
      </c>
      <c r="C1118">
        <v>11505665</v>
      </c>
      <c r="D1118">
        <v>237774</v>
      </c>
      <c r="E1118">
        <v>9273507</v>
      </c>
    </row>
    <row r="1119" spans="1:5" x14ac:dyDescent="0.3">
      <c r="A1119" t="s">
        <v>152</v>
      </c>
      <c r="B1119" t="s">
        <v>11</v>
      </c>
      <c r="C1119">
        <v>18803965</v>
      </c>
      <c r="D1119">
        <v>474643</v>
      </c>
      <c r="E1119">
        <v>15792841</v>
      </c>
    </row>
    <row r="1120" spans="1:5" x14ac:dyDescent="0.3">
      <c r="A1120" t="s">
        <v>152</v>
      </c>
      <c r="B1120" t="s">
        <v>12</v>
      </c>
      <c r="C1120">
        <v>17148050</v>
      </c>
      <c r="D1120">
        <v>314671</v>
      </c>
      <c r="E1120">
        <v>14338568</v>
      </c>
    </row>
    <row r="1121" spans="1:5" x14ac:dyDescent="0.3">
      <c r="A1121" t="s">
        <v>152</v>
      </c>
      <c r="B1121" t="s">
        <v>13</v>
      </c>
      <c r="C1121">
        <v>20337341</v>
      </c>
      <c r="D1121">
        <v>314687</v>
      </c>
      <c r="E1121">
        <v>14828999</v>
      </c>
    </row>
    <row r="1122" spans="1:5" x14ac:dyDescent="0.3">
      <c r="A1122" t="s">
        <v>153</v>
      </c>
      <c r="B1122" t="s">
        <v>6</v>
      </c>
      <c r="C1122">
        <v>19329368</v>
      </c>
      <c r="D1122">
        <v>556749</v>
      </c>
      <c r="E1122">
        <v>15288690</v>
      </c>
    </row>
    <row r="1123" spans="1:5" x14ac:dyDescent="0.3">
      <c r="A1123" t="s">
        <v>153</v>
      </c>
      <c r="B1123" t="s">
        <v>7</v>
      </c>
      <c r="C1123">
        <v>10209716</v>
      </c>
      <c r="D1123">
        <v>153157</v>
      </c>
      <c r="E1123">
        <v>7476767</v>
      </c>
    </row>
    <row r="1124" spans="1:5" x14ac:dyDescent="0.3">
      <c r="A1124" t="s">
        <v>153</v>
      </c>
      <c r="B1124" t="s">
        <v>8</v>
      </c>
      <c r="C1124">
        <v>9146699</v>
      </c>
      <c r="D1124">
        <v>170871</v>
      </c>
      <c r="E1124">
        <v>6992052</v>
      </c>
    </row>
    <row r="1125" spans="1:5" x14ac:dyDescent="0.3">
      <c r="A1125" t="s">
        <v>153</v>
      </c>
      <c r="B1125" t="s">
        <v>9</v>
      </c>
      <c r="C1125">
        <v>9263761</v>
      </c>
      <c r="D1125">
        <v>103058</v>
      </c>
      <c r="E1125">
        <v>8018420</v>
      </c>
    </row>
    <row r="1126" spans="1:5" x14ac:dyDescent="0.3">
      <c r="A1126" t="s">
        <v>153</v>
      </c>
      <c r="B1126" t="s">
        <v>10</v>
      </c>
      <c r="C1126">
        <v>11530455</v>
      </c>
      <c r="D1126">
        <v>299679</v>
      </c>
      <c r="E1126">
        <v>8913907</v>
      </c>
    </row>
    <row r="1127" spans="1:5" x14ac:dyDescent="0.3">
      <c r="A1127" t="s">
        <v>153</v>
      </c>
      <c r="B1127" t="s">
        <v>11</v>
      </c>
      <c r="C1127">
        <v>18832694</v>
      </c>
      <c r="D1127">
        <v>351306</v>
      </c>
      <c r="E1127">
        <v>15911347</v>
      </c>
    </row>
    <row r="1128" spans="1:5" x14ac:dyDescent="0.3">
      <c r="A1128" t="s">
        <v>153</v>
      </c>
      <c r="B1128" t="s">
        <v>12</v>
      </c>
      <c r="C1128">
        <v>17179551</v>
      </c>
      <c r="D1128">
        <v>225268</v>
      </c>
      <c r="E1128">
        <v>13520969</v>
      </c>
    </row>
    <row r="1129" spans="1:5" x14ac:dyDescent="0.3">
      <c r="A1129" t="s">
        <v>153</v>
      </c>
      <c r="B1129" t="s">
        <v>13</v>
      </c>
      <c r="C1129">
        <v>20386395</v>
      </c>
      <c r="D1129">
        <v>383678</v>
      </c>
      <c r="E1129">
        <v>15858114</v>
      </c>
    </row>
    <row r="1130" spans="1:5" x14ac:dyDescent="0.3">
      <c r="A1130" t="s">
        <v>154</v>
      </c>
      <c r="B1130" t="s">
        <v>6</v>
      </c>
      <c r="C1130">
        <v>19362638</v>
      </c>
      <c r="D1130">
        <v>425505</v>
      </c>
      <c r="E1130">
        <v>15819153</v>
      </c>
    </row>
    <row r="1131" spans="1:5" x14ac:dyDescent="0.3">
      <c r="A1131" t="s">
        <v>154</v>
      </c>
      <c r="B1131" t="s">
        <v>7</v>
      </c>
      <c r="C1131">
        <v>10259385</v>
      </c>
      <c r="D1131">
        <v>250941</v>
      </c>
      <c r="E1131">
        <v>7784925</v>
      </c>
    </row>
    <row r="1132" spans="1:5" x14ac:dyDescent="0.3">
      <c r="A1132" t="s">
        <v>154</v>
      </c>
      <c r="B1132" t="s">
        <v>8</v>
      </c>
      <c r="C1132">
        <v>9158409</v>
      </c>
      <c r="D1132">
        <v>184343</v>
      </c>
      <c r="E1132">
        <v>6851134</v>
      </c>
    </row>
    <row r="1133" spans="1:5" x14ac:dyDescent="0.3">
      <c r="A1133" t="s">
        <v>154</v>
      </c>
      <c r="B1133" t="s">
        <v>9</v>
      </c>
      <c r="C1133">
        <v>9284602</v>
      </c>
      <c r="D1133">
        <v>161054</v>
      </c>
      <c r="E1133">
        <v>7404523</v>
      </c>
    </row>
    <row r="1134" spans="1:5" x14ac:dyDescent="0.3">
      <c r="A1134" t="s">
        <v>154</v>
      </c>
      <c r="B1134" t="s">
        <v>10</v>
      </c>
      <c r="C1134">
        <v>11538097</v>
      </c>
      <c r="D1134">
        <v>153891</v>
      </c>
      <c r="E1134">
        <v>9622278</v>
      </c>
    </row>
    <row r="1135" spans="1:5" x14ac:dyDescent="0.3">
      <c r="A1135" t="s">
        <v>154</v>
      </c>
      <c r="B1135" t="s">
        <v>11</v>
      </c>
      <c r="C1135">
        <v>18879191</v>
      </c>
      <c r="D1135">
        <v>328335</v>
      </c>
      <c r="E1135">
        <v>15975519</v>
      </c>
    </row>
    <row r="1136" spans="1:5" x14ac:dyDescent="0.3">
      <c r="A1136" t="s">
        <v>154</v>
      </c>
      <c r="B1136" t="s">
        <v>12</v>
      </c>
      <c r="C1136">
        <v>17200306</v>
      </c>
      <c r="D1136">
        <v>313276</v>
      </c>
      <c r="E1136">
        <v>13327932</v>
      </c>
    </row>
    <row r="1137" spans="1:5" x14ac:dyDescent="0.3">
      <c r="A1137" t="s">
        <v>154</v>
      </c>
      <c r="B1137" t="s">
        <v>13</v>
      </c>
      <c r="C1137">
        <v>20409239</v>
      </c>
      <c r="D1137">
        <v>518073</v>
      </c>
      <c r="E1137">
        <v>14607882</v>
      </c>
    </row>
    <row r="1138" spans="1:5" x14ac:dyDescent="0.3">
      <c r="A1138" t="s">
        <v>155</v>
      </c>
      <c r="B1138" t="s">
        <v>6</v>
      </c>
      <c r="C1138">
        <v>19410532</v>
      </c>
      <c r="D1138">
        <v>411106</v>
      </c>
      <c r="E1138">
        <v>13716767</v>
      </c>
    </row>
    <row r="1139" spans="1:5" x14ac:dyDescent="0.3">
      <c r="A1139" t="s">
        <v>155</v>
      </c>
      <c r="B1139" t="s">
        <v>7</v>
      </c>
      <c r="C1139">
        <v>10274190</v>
      </c>
      <c r="D1139">
        <v>162327</v>
      </c>
      <c r="E1139">
        <v>9120930</v>
      </c>
    </row>
    <row r="1140" spans="1:5" x14ac:dyDescent="0.3">
      <c r="A1140" t="s">
        <v>155</v>
      </c>
      <c r="B1140" t="s">
        <v>8</v>
      </c>
      <c r="C1140">
        <v>9188928</v>
      </c>
      <c r="D1140">
        <v>187939</v>
      </c>
      <c r="E1140">
        <v>6881868</v>
      </c>
    </row>
    <row r="1141" spans="1:5" x14ac:dyDescent="0.3">
      <c r="A1141" t="s">
        <v>155</v>
      </c>
      <c r="B1141" t="s">
        <v>9</v>
      </c>
      <c r="C1141">
        <v>9312220</v>
      </c>
      <c r="D1141">
        <v>248385</v>
      </c>
      <c r="E1141">
        <v>7871906</v>
      </c>
    </row>
    <row r="1142" spans="1:5" x14ac:dyDescent="0.3">
      <c r="A1142" t="s">
        <v>155</v>
      </c>
      <c r="B1142" t="s">
        <v>10</v>
      </c>
      <c r="C1142">
        <v>11552751</v>
      </c>
      <c r="D1142">
        <v>206877</v>
      </c>
      <c r="E1142">
        <v>9870274</v>
      </c>
    </row>
    <row r="1143" spans="1:5" x14ac:dyDescent="0.3">
      <c r="A1143" t="s">
        <v>155</v>
      </c>
      <c r="B1143" t="s">
        <v>11</v>
      </c>
      <c r="C1143">
        <v>18911778</v>
      </c>
      <c r="D1143">
        <v>409563</v>
      </c>
      <c r="E1143">
        <v>16216737</v>
      </c>
    </row>
    <row r="1144" spans="1:5" x14ac:dyDescent="0.3">
      <c r="A1144" t="s">
        <v>155</v>
      </c>
      <c r="B1144" t="s">
        <v>12</v>
      </c>
      <c r="C1144">
        <v>17202386</v>
      </c>
      <c r="D1144">
        <v>491306</v>
      </c>
      <c r="E1144">
        <v>13752458</v>
      </c>
    </row>
    <row r="1145" spans="1:5" x14ac:dyDescent="0.3">
      <c r="A1145" t="s">
        <v>155</v>
      </c>
      <c r="B1145" t="s">
        <v>13</v>
      </c>
      <c r="C1145">
        <v>20456891</v>
      </c>
      <c r="D1145">
        <v>599540</v>
      </c>
      <c r="E1145">
        <v>16841961</v>
      </c>
    </row>
    <row r="1146" spans="1:5" x14ac:dyDescent="0.3">
      <c r="A1146" t="s">
        <v>156</v>
      </c>
      <c r="B1146" t="s">
        <v>6</v>
      </c>
      <c r="C1146">
        <v>19440984</v>
      </c>
      <c r="D1146">
        <v>258043</v>
      </c>
      <c r="E1146">
        <v>13974956</v>
      </c>
    </row>
    <row r="1147" spans="1:5" x14ac:dyDescent="0.3">
      <c r="A1147" t="s">
        <v>156</v>
      </c>
      <c r="B1147" t="s">
        <v>7</v>
      </c>
      <c r="C1147">
        <v>10285299</v>
      </c>
      <c r="D1147">
        <v>157958</v>
      </c>
      <c r="E1147">
        <v>8724789</v>
      </c>
    </row>
    <row r="1148" spans="1:5" x14ac:dyDescent="0.3">
      <c r="A1148" t="s">
        <v>156</v>
      </c>
      <c r="B1148" t="s">
        <v>8</v>
      </c>
      <c r="C1148">
        <v>9197350</v>
      </c>
      <c r="D1148">
        <v>136971</v>
      </c>
      <c r="E1148">
        <v>7872037</v>
      </c>
    </row>
    <row r="1149" spans="1:5" x14ac:dyDescent="0.3">
      <c r="A1149" t="s">
        <v>156</v>
      </c>
      <c r="B1149" t="s">
        <v>9</v>
      </c>
      <c r="C1149">
        <v>9332234</v>
      </c>
      <c r="D1149">
        <v>276281</v>
      </c>
      <c r="E1149">
        <v>7628645</v>
      </c>
    </row>
    <row r="1150" spans="1:5" x14ac:dyDescent="0.3">
      <c r="A1150" t="s">
        <v>156</v>
      </c>
      <c r="B1150" t="s">
        <v>10</v>
      </c>
      <c r="C1150">
        <v>11592182</v>
      </c>
      <c r="D1150">
        <v>335946</v>
      </c>
      <c r="E1150">
        <v>10104649</v>
      </c>
    </row>
    <row r="1151" spans="1:5" x14ac:dyDescent="0.3">
      <c r="A1151" t="s">
        <v>156</v>
      </c>
      <c r="B1151" t="s">
        <v>11</v>
      </c>
      <c r="C1151">
        <v>18947965</v>
      </c>
      <c r="D1151">
        <v>289773</v>
      </c>
      <c r="E1151">
        <v>16166132</v>
      </c>
    </row>
    <row r="1152" spans="1:5" x14ac:dyDescent="0.3">
      <c r="A1152" t="s">
        <v>156</v>
      </c>
      <c r="B1152" t="s">
        <v>12</v>
      </c>
      <c r="C1152">
        <v>17243466</v>
      </c>
      <c r="D1152">
        <v>381203</v>
      </c>
      <c r="E1152">
        <v>14499807</v>
      </c>
    </row>
    <row r="1153" spans="1:5" x14ac:dyDescent="0.3">
      <c r="A1153" t="s">
        <v>156</v>
      </c>
      <c r="B1153" t="s">
        <v>13</v>
      </c>
      <c r="C1153">
        <v>20482747</v>
      </c>
      <c r="D1153">
        <v>220085</v>
      </c>
      <c r="E1153">
        <v>16479098</v>
      </c>
    </row>
    <row r="1154" spans="1:5" x14ac:dyDescent="0.3">
      <c r="A1154" t="s">
        <v>157</v>
      </c>
      <c r="B1154" t="s">
        <v>6</v>
      </c>
      <c r="C1154">
        <v>19456884</v>
      </c>
      <c r="D1154">
        <v>247857</v>
      </c>
      <c r="E1154">
        <v>14127274</v>
      </c>
    </row>
    <row r="1155" spans="1:5" x14ac:dyDescent="0.3">
      <c r="A1155" t="s">
        <v>157</v>
      </c>
      <c r="B1155" t="s">
        <v>7</v>
      </c>
      <c r="C1155">
        <v>10298520</v>
      </c>
      <c r="D1155">
        <v>236853</v>
      </c>
      <c r="E1155">
        <v>8790191</v>
      </c>
    </row>
    <row r="1156" spans="1:5" x14ac:dyDescent="0.3">
      <c r="A1156" t="s">
        <v>157</v>
      </c>
      <c r="B1156" t="s">
        <v>8</v>
      </c>
      <c r="C1156">
        <v>9199984</v>
      </c>
      <c r="D1156">
        <v>213084</v>
      </c>
      <c r="E1156">
        <v>7627347</v>
      </c>
    </row>
    <row r="1157" spans="1:5" x14ac:dyDescent="0.3">
      <c r="A1157" t="s">
        <v>157</v>
      </c>
      <c r="B1157" t="s">
        <v>9</v>
      </c>
      <c r="C1157">
        <v>9340326</v>
      </c>
      <c r="D1157">
        <v>124002</v>
      </c>
      <c r="E1157">
        <v>6694027</v>
      </c>
    </row>
    <row r="1158" spans="1:5" x14ac:dyDescent="0.3">
      <c r="A1158" t="s">
        <v>157</v>
      </c>
      <c r="B1158" t="s">
        <v>10</v>
      </c>
      <c r="C1158">
        <v>11639271</v>
      </c>
      <c r="D1158">
        <v>188490</v>
      </c>
      <c r="E1158">
        <v>10298007</v>
      </c>
    </row>
    <row r="1159" spans="1:5" x14ac:dyDescent="0.3">
      <c r="A1159" t="s">
        <v>157</v>
      </c>
      <c r="B1159" t="s">
        <v>11</v>
      </c>
      <c r="C1159">
        <v>18982363</v>
      </c>
      <c r="D1159">
        <v>416165</v>
      </c>
      <c r="E1159">
        <v>16600041</v>
      </c>
    </row>
    <row r="1160" spans="1:5" x14ac:dyDescent="0.3">
      <c r="A1160" t="s">
        <v>157</v>
      </c>
      <c r="B1160" t="s">
        <v>12</v>
      </c>
      <c r="C1160">
        <v>17281198</v>
      </c>
      <c r="D1160">
        <v>289695</v>
      </c>
      <c r="E1160">
        <v>12193257</v>
      </c>
    </row>
    <row r="1161" spans="1:5" x14ac:dyDescent="0.3">
      <c r="A1161" t="s">
        <v>157</v>
      </c>
      <c r="B1161" t="s">
        <v>13</v>
      </c>
      <c r="C1161">
        <v>20494978</v>
      </c>
      <c r="D1161">
        <v>414496</v>
      </c>
      <c r="E1161">
        <v>18370196</v>
      </c>
    </row>
    <row r="1162" spans="1:5" x14ac:dyDescent="0.3">
      <c r="A1162" t="s">
        <v>158</v>
      </c>
      <c r="B1162" t="s">
        <v>6</v>
      </c>
      <c r="C1162">
        <v>19483622</v>
      </c>
      <c r="D1162">
        <v>198658</v>
      </c>
      <c r="E1162">
        <v>14113128</v>
      </c>
    </row>
    <row r="1163" spans="1:5" x14ac:dyDescent="0.3">
      <c r="A1163" t="s">
        <v>158</v>
      </c>
      <c r="B1163" t="s">
        <v>7</v>
      </c>
      <c r="C1163">
        <v>10331612</v>
      </c>
      <c r="D1163">
        <v>174914</v>
      </c>
      <c r="E1163">
        <v>9090089</v>
      </c>
    </row>
    <row r="1164" spans="1:5" x14ac:dyDescent="0.3">
      <c r="A1164" t="s">
        <v>158</v>
      </c>
      <c r="B1164" t="s">
        <v>8</v>
      </c>
      <c r="C1164">
        <v>9212943</v>
      </c>
      <c r="D1164">
        <v>240149</v>
      </c>
      <c r="E1164">
        <v>6869914</v>
      </c>
    </row>
    <row r="1165" spans="1:5" x14ac:dyDescent="0.3">
      <c r="A1165" t="s">
        <v>158</v>
      </c>
      <c r="B1165" t="s">
        <v>9</v>
      </c>
      <c r="C1165">
        <v>9373063</v>
      </c>
      <c r="D1165">
        <v>262354</v>
      </c>
      <c r="E1165">
        <v>6619419</v>
      </c>
    </row>
    <row r="1166" spans="1:5" x14ac:dyDescent="0.3">
      <c r="A1166" t="s">
        <v>158</v>
      </c>
      <c r="B1166" t="s">
        <v>10</v>
      </c>
      <c r="C1166">
        <v>11644353</v>
      </c>
      <c r="D1166">
        <v>255596</v>
      </c>
      <c r="E1166">
        <v>9719072</v>
      </c>
    </row>
    <row r="1167" spans="1:5" x14ac:dyDescent="0.3">
      <c r="A1167" t="s">
        <v>158</v>
      </c>
      <c r="B1167" t="s">
        <v>11</v>
      </c>
      <c r="C1167">
        <v>19008236</v>
      </c>
      <c r="D1167">
        <v>250970</v>
      </c>
      <c r="E1167">
        <v>14007424</v>
      </c>
    </row>
    <row r="1168" spans="1:5" x14ac:dyDescent="0.3">
      <c r="A1168" t="s">
        <v>158</v>
      </c>
      <c r="B1168" t="s">
        <v>12</v>
      </c>
      <c r="C1168">
        <v>17306705</v>
      </c>
      <c r="D1168">
        <v>306960</v>
      </c>
      <c r="E1168">
        <v>12826438</v>
      </c>
    </row>
    <row r="1169" spans="1:5" x14ac:dyDescent="0.3">
      <c r="A1169" t="s">
        <v>158</v>
      </c>
      <c r="B1169" t="s">
        <v>13</v>
      </c>
      <c r="C1169">
        <v>20520304</v>
      </c>
      <c r="D1169">
        <v>365057</v>
      </c>
      <c r="E1169">
        <v>16362615</v>
      </c>
    </row>
    <row r="1170" spans="1:5" x14ac:dyDescent="0.3">
      <c r="A1170" t="s">
        <v>159</v>
      </c>
      <c r="B1170" t="s">
        <v>6</v>
      </c>
      <c r="C1170">
        <v>19509944</v>
      </c>
      <c r="D1170">
        <v>355748</v>
      </c>
      <c r="E1170">
        <v>15262141</v>
      </c>
    </row>
    <row r="1171" spans="1:5" x14ac:dyDescent="0.3">
      <c r="A1171" t="s">
        <v>159</v>
      </c>
      <c r="B1171" t="s">
        <v>7</v>
      </c>
      <c r="C1171">
        <v>10360239</v>
      </c>
      <c r="D1171">
        <v>205186</v>
      </c>
      <c r="E1171">
        <v>7266300</v>
      </c>
    </row>
    <row r="1172" spans="1:5" x14ac:dyDescent="0.3">
      <c r="A1172" t="s">
        <v>159</v>
      </c>
      <c r="B1172" t="s">
        <v>8</v>
      </c>
      <c r="C1172">
        <v>9215752</v>
      </c>
      <c r="D1172">
        <v>94154</v>
      </c>
      <c r="E1172">
        <v>7075423</v>
      </c>
    </row>
    <row r="1173" spans="1:5" x14ac:dyDescent="0.3">
      <c r="A1173" t="s">
        <v>159</v>
      </c>
      <c r="B1173" t="s">
        <v>9</v>
      </c>
      <c r="C1173">
        <v>9412451</v>
      </c>
      <c r="D1173">
        <v>164491</v>
      </c>
      <c r="E1173">
        <v>7248100</v>
      </c>
    </row>
    <row r="1174" spans="1:5" x14ac:dyDescent="0.3">
      <c r="A1174" t="s">
        <v>159</v>
      </c>
      <c r="B1174" t="s">
        <v>10</v>
      </c>
      <c r="C1174">
        <v>11661684</v>
      </c>
      <c r="D1174">
        <v>280993</v>
      </c>
      <c r="E1174">
        <v>8833608</v>
      </c>
    </row>
    <row r="1175" spans="1:5" x14ac:dyDescent="0.3">
      <c r="A1175" t="s">
        <v>159</v>
      </c>
      <c r="B1175" t="s">
        <v>11</v>
      </c>
      <c r="C1175">
        <v>19033009</v>
      </c>
      <c r="D1175">
        <v>569536</v>
      </c>
      <c r="E1175">
        <v>14562361</v>
      </c>
    </row>
    <row r="1176" spans="1:5" x14ac:dyDescent="0.3">
      <c r="A1176" t="s">
        <v>159</v>
      </c>
      <c r="B1176" t="s">
        <v>12</v>
      </c>
      <c r="C1176">
        <v>17309813</v>
      </c>
      <c r="D1176">
        <v>373508</v>
      </c>
      <c r="E1176">
        <v>12798727</v>
      </c>
    </row>
    <row r="1177" spans="1:5" x14ac:dyDescent="0.3">
      <c r="A1177" t="s">
        <v>159</v>
      </c>
      <c r="B1177" t="s">
        <v>13</v>
      </c>
      <c r="C1177">
        <v>20553277</v>
      </c>
      <c r="D1177">
        <v>436072</v>
      </c>
      <c r="E1177">
        <v>17121076</v>
      </c>
    </row>
    <row r="1178" spans="1:5" x14ac:dyDescent="0.3">
      <c r="A1178" t="s">
        <v>160</v>
      </c>
      <c r="B1178" t="s">
        <v>6</v>
      </c>
      <c r="C1178">
        <v>19558303</v>
      </c>
      <c r="D1178">
        <v>203433</v>
      </c>
      <c r="E1178">
        <v>14650487</v>
      </c>
    </row>
    <row r="1179" spans="1:5" x14ac:dyDescent="0.3">
      <c r="A1179" t="s">
        <v>160</v>
      </c>
      <c r="B1179" t="s">
        <v>7</v>
      </c>
      <c r="C1179">
        <v>10368287</v>
      </c>
      <c r="D1179">
        <v>215419</v>
      </c>
      <c r="E1179">
        <v>8825579</v>
      </c>
    </row>
    <row r="1180" spans="1:5" x14ac:dyDescent="0.3">
      <c r="A1180" t="s">
        <v>160</v>
      </c>
      <c r="B1180" t="s">
        <v>8</v>
      </c>
      <c r="C1180">
        <v>9257956</v>
      </c>
      <c r="D1180">
        <v>270882</v>
      </c>
      <c r="E1180">
        <v>7837135</v>
      </c>
    </row>
    <row r="1181" spans="1:5" x14ac:dyDescent="0.3">
      <c r="A1181" t="s">
        <v>160</v>
      </c>
      <c r="B1181" t="s">
        <v>9</v>
      </c>
      <c r="C1181">
        <v>9426892</v>
      </c>
      <c r="D1181">
        <v>142449</v>
      </c>
      <c r="E1181">
        <v>8169381</v>
      </c>
    </row>
    <row r="1182" spans="1:5" x14ac:dyDescent="0.3">
      <c r="A1182" t="s">
        <v>160</v>
      </c>
      <c r="B1182" t="s">
        <v>10</v>
      </c>
      <c r="C1182">
        <v>11708044</v>
      </c>
      <c r="D1182">
        <v>203293</v>
      </c>
      <c r="E1182">
        <v>8362232</v>
      </c>
    </row>
    <row r="1183" spans="1:5" x14ac:dyDescent="0.3">
      <c r="A1183" t="s">
        <v>160</v>
      </c>
      <c r="B1183" t="s">
        <v>11</v>
      </c>
      <c r="C1183">
        <v>19052477</v>
      </c>
      <c r="D1183">
        <v>554099</v>
      </c>
      <c r="E1183">
        <v>13618381</v>
      </c>
    </row>
    <row r="1184" spans="1:5" x14ac:dyDescent="0.3">
      <c r="A1184" t="s">
        <v>160</v>
      </c>
      <c r="B1184" t="s">
        <v>12</v>
      </c>
      <c r="C1184">
        <v>17355948</v>
      </c>
      <c r="D1184">
        <v>206769</v>
      </c>
      <c r="E1184">
        <v>15613819</v>
      </c>
    </row>
    <row r="1185" spans="1:5" x14ac:dyDescent="0.3">
      <c r="A1185" t="s">
        <v>160</v>
      </c>
      <c r="B1185" t="s">
        <v>13</v>
      </c>
      <c r="C1185">
        <v>20603010</v>
      </c>
      <c r="D1185">
        <v>516464</v>
      </c>
      <c r="E1185">
        <v>14756976</v>
      </c>
    </row>
    <row r="1186" spans="1:5" x14ac:dyDescent="0.3">
      <c r="A1186" t="s">
        <v>161</v>
      </c>
      <c r="B1186" t="s">
        <v>6</v>
      </c>
      <c r="C1186">
        <v>19575619</v>
      </c>
      <c r="D1186">
        <v>362729</v>
      </c>
      <c r="E1186">
        <v>16952954</v>
      </c>
    </row>
    <row r="1187" spans="1:5" x14ac:dyDescent="0.3">
      <c r="A1187" t="s">
        <v>161</v>
      </c>
      <c r="B1187" t="s">
        <v>7</v>
      </c>
      <c r="C1187">
        <v>10403737</v>
      </c>
      <c r="D1187">
        <v>279003</v>
      </c>
      <c r="E1187">
        <v>8229152</v>
      </c>
    </row>
    <row r="1188" spans="1:5" x14ac:dyDescent="0.3">
      <c r="A1188" t="s">
        <v>161</v>
      </c>
      <c r="B1188" t="s">
        <v>8</v>
      </c>
      <c r="C1188">
        <v>9293500</v>
      </c>
      <c r="D1188">
        <v>93803</v>
      </c>
      <c r="E1188">
        <v>6934179</v>
      </c>
    </row>
    <row r="1189" spans="1:5" x14ac:dyDescent="0.3">
      <c r="A1189" t="s">
        <v>161</v>
      </c>
      <c r="B1189" t="s">
        <v>9</v>
      </c>
      <c r="C1189">
        <v>9444049</v>
      </c>
      <c r="D1189">
        <v>148928</v>
      </c>
      <c r="E1189">
        <v>7743486</v>
      </c>
    </row>
    <row r="1190" spans="1:5" x14ac:dyDescent="0.3">
      <c r="A1190" t="s">
        <v>161</v>
      </c>
      <c r="B1190" t="s">
        <v>10</v>
      </c>
      <c r="C1190">
        <v>11751970</v>
      </c>
      <c r="D1190">
        <v>275182</v>
      </c>
      <c r="E1190">
        <v>8950827</v>
      </c>
    </row>
    <row r="1191" spans="1:5" x14ac:dyDescent="0.3">
      <c r="A1191" t="s">
        <v>161</v>
      </c>
      <c r="B1191" t="s">
        <v>11</v>
      </c>
      <c r="C1191">
        <v>19075429</v>
      </c>
      <c r="D1191">
        <v>277093</v>
      </c>
      <c r="E1191">
        <v>13859922</v>
      </c>
    </row>
    <row r="1192" spans="1:5" x14ac:dyDescent="0.3">
      <c r="A1192" t="s">
        <v>161</v>
      </c>
      <c r="B1192" t="s">
        <v>12</v>
      </c>
      <c r="C1192">
        <v>17404969</v>
      </c>
      <c r="D1192">
        <v>357362</v>
      </c>
      <c r="E1192">
        <v>14940008</v>
      </c>
    </row>
    <row r="1193" spans="1:5" x14ac:dyDescent="0.3">
      <c r="A1193" t="s">
        <v>161</v>
      </c>
      <c r="B1193" t="s">
        <v>13</v>
      </c>
      <c r="C1193">
        <v>20648778</v>
      </c>
      <c r="D1193">
        <v>284638</v>
      </c>
      <c r="E1193">
        <v>14722996</v>
      </c>
    </row>
    <row r="1194" spans="1:5" x14ac:dyDescent="0.3">
      <c r="A1194" t="s">
        <v>162</v>
      </c>
      <c r="B1194" t="s">
        <v>6</v>
      </c>
      <c r="C1194">
        <v>19590256</v>
      </c>
      <c r="D1194">
        <v>335418</v>
      </c>
      <c r="E1194">
        <v>14053415</v>
      </c>
    </row>
    <row r="1195" spans="1:5" x14ac:dyDescent="0.3">
      <c r="A1195" t="s">
        <v>162</v>
      </c>
      <c r="B1195" t="s">
        <v>7</v>
      </c>
      <c r="C1195">
        <v>10430974</v>
      </c>
      <c r="D1195">
        <v>202376</v>
      </c>
      <c r="E1195">
        <v>8229903</v>
      </c>
    </row>
    <row r="1196" spans="1:5" x14ac:dyDescent="0.3">
      <c r="A1196" t="s">
        <v>162</v>
      </c>
      <c r="B1196" t="s">
        <v>8</v>
      </c>
      <c r="C1196">
        <v>9310373</v>
      </c>
      <c r="D1196">
        <v>156064</v>
      </c>
      <c r="E1196">
        <v>7692701</v>
      </c>
    </row>
    <row r="1197" spans="1:5" x14ac:dyDescent="0.3">
      <c r="A1197" t="s">
        <v>162</v>
      </c>
      <c r="B1197" t="s">
        <v>9</v>
      </c>
      <c r="C1197">
        <v>9451670</v>
      </c>
      <c r="D1197">
        <v>141270</v>
      </c>
      <c r="E1197">
        <v>6936212</v>
      </c>
    </row>
    <row r="1198" spans="1:5" x14ac:dyDescent="0.3">
      <c r="A1198" t="s">
        <v>162</v>
      </c>
      <c r="B1198" t="s">
        <v>10</v>
      </c>
      <c r="C1198">
        <v>11768721</v>
      </c>
      <c r="D1198">
        <v>307533</v>
      </c>
      <c r="E1198">
        <v>9283138</v>
      </c>
    </row>
    <row r="1199" spans="1:5" x14ac:dyDescent="0.3">
      <c r="A1199" t="s">
        <v>162</v>
      </c>
      <c r="B1199" t="s">
        <v>11</v>
      </c>
      <c r="C1199">
        <v>19106244</v>
      </c>
      <c r="D1199">
        <v>463651</v>
      </c>
      <c r="E1199">
        <v>13842667</v>
      </c>
    </row>
    <row r="1200" spans="1:5" x14ac:dyDescent="0.3">
      <c r="A1200" t="s">
        <v>162</v>
      </c>
      <c r="B1200" t="s">
        <v>12</v>
      </c>
      <c r="C1200">
        <v>17424870</v>
      </c>
      <c r="D1200">
        <v>225582</v>
      </c>
      <c r="E1200">
        <v>14466089</v>
      </c>
    </row>
    <row r="1201" spans="1:5" x14ac:dyDescent="0.3">
      <c r="A1201" t="s">
        <v>162</v>
      </c>
      <c r="B1201" t="s">
        <v>13</v>
      </c>
      <c r="C1201">
        <v>20675333</v>
      </c>
      <c r="D1201">
        <v>349004</v>
      </c>
      <c r="E1201">
        <v>16104388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076F-E3C3-4BCA-96DC-B9E76621829E}">
  <dimension ref="A1:S1201"/>
  <sheetViews>
    <sheetView zoomScaleNormal="100" workbookViewId="0">
      <selection activeCell="S10" sqref="S10"/>
    </sheetView>
  </sheetViews>
  <sheetFormatPr defaultRowHeight="14.4" x14ac:dyDescent="0.3"/>
  <cols>
    <col min="1" max="1" width="10.33203125" style="1" bestFit="1" customWidth="1"/>
    <col min="2" max="2" width="8.33203125" bestFit="1" customWidth="1"/>
    <col min="3" max="3" width="9.88671875" bestFit="1" customWidth="1"/>
    <col min="4" max="4" width="7" bestFit="1" customWidth="1"/>
    <col min="5" max="5" width="9.88671875" bestFit="1" customWidth="1"/>
    <col min="6" max="6" width="9.6640625" customWidth="1"/>
    <col min="7" max="7" width="11.33203125" style="2" bestFit="1" customWidth="1"/>
    <col min="8" max="8" width="12.109375" style="12" bestFit="1" customWidth="1"/>
    <col min="9" max="9" width="15" style="4" bestFit="1" customWidth="1"/>
    <col min="13" max="13" width="10.33203125" style="1" bestFit="1" customWidth="1"/>
    <col min="14" max="14" width="11.33203125" style="2" bestFit="1" customWidth="1"/>
    <col min="16" max="16" width="13.88671875" bestFit="1" customWidth="1"/>
    <col min="19" max="19" width="12.77734375" bestFit="1" customWidth="1"/>
  </cols>
  <sheetData>
    <row r="1" spans="1:19" x14ac:dyDescent="0.3">
      <c r="A1" s="8" t="s">
        <v>0</v>
      </c>
      <c r="B1" s="9" t="s">
        <v>1</v>
      </c>
      <c r="C1" s="9" t="s">
        <v>2</v>
      </c>
      <c r="D1" s="9" t="s">
        <v>3</v>
      </c>
      <c r="E1" s="9" t="s">
        <v>4</v>
      </c>
      <c r="F1" s="9"/>
      <c r="G1" s="10" t="s">
        <v>163</v>
      </c>
      <c r="H1" s="11" t="s">
        <v>164</v>
      </c>
      <c r="I1" s="13" t="s">
        <v>165</v>
      </c>
      <c r="J1" s="14" t="s">
        <v>166</v>
      </c>
      <c r="M1" s="8" t="s">
        <v>0</v>
      </c>
      <c r="N1" s="10" t="s">
        <v>163</v>
      </c>
    </row>
    <row r="2" spans="1:19" x14ac:dyDescent="0.3">
      <c r="A2" s="5" t="s">
        <v>5</v>
      </c>
      <c r="B2" s="6" t="s">
        <v>8</v>
      </c>
      <c r="C2" s="6">
        <v>5554230</v>
      </c>
      <c r="D2" s="6">
        <v>138559</v>
      </c>
      <c r="E2" s="6">
        <v>4331342</v>
      </c>
      <c r="F2" s="6"/>
      <c r="G2" s="7">
        <f xml:space="preserve"> C2-D2-E2</f>
        <v>1084329</v>
      </c>
      <c r="H2" s="12">
        <f>D2/C2*100</f>
        <v>2.4946572252139361</v>
      </c>
      <c r="I2" s="12">
        <f>E2/C2*100</f>
        <v>77.982762687177171</v>
      </c>
      <c r="J2" t="str">
        <f>IF(B2=B1,C2-C1,"")</f>
        <v/>
      </c>
      <c r="M2" s="5" t="s">
        <v>5</v>
      </c>
      <c r="N2" s="7">
        <v>1084329</v>
      </c>
    </row>
    <row r="3" spans="1:19" x14ac:dyDescent="0.3">
      <c r="A3" s="5" t="s">
        <v>5</v>
      </c>
      <c r="B3" s="6" t="s">
        <v>8</v>
      </c>
      <c r="C3" s="6">
        <v>5576883</v>
      </c>
      <c r="D3" s="6">
        <v>158271</v>
      </c>
      <c r="E3" s="6">
        <v>5004213</v>
      </c>
      <c r="F3" s="6"/>
      <c r="G3" s="7">
        <f t="shared" ref="G3:G66" si="0" xml:space="preserve"> C3-D3-E3</f>
        <v>414399</v>
      </c>
      <c r="H3" s="12">
        <f t="shared" ref="H3:H66" si="1">D3/C3*100</f>
        <v>2.8379831529547959</v>
      </c>
      <c r="I3" s="12">
        <f t="shared" ref="I3:I66" si="2">E3/C3*100</f>
        <v>89.731360690191991</v>
      </c>
      <c r="J3">
        <f>IF(B3=B2,C3-C2,"")</f>
        <v>22653</v>
      </c>
      <c r="M3" s="5" t="s">
        <v>5</v>
      </c>
      <c r="N3" s="7">
        <v>414399</v>
      </c>
    </row>
    <row r="4" spans="1:19" x14ac:dyDescent="0.3">
      <c r="A4" s="5" t="s">
        <v>5</v>
      </c>
      <c r="B4" s="6" t="s">
        <v>8</v>
      </c>
      <c r="C4" s="6">
        <v>5610296</v>
      </c>
      <c r="D4" s="6">
        <v>120264</v>
      </c>
      <c r="E4" s="6">
        <v>5020532</v>
      </c>
      <c r="F4" s="6"/>
      <c r="G4" s="7">
        <f t="shared" si="0"/>
        <v>469500</v>
      </c>
      <c r="H4" s="12">
        <f t="shared" si="1"/>
        <v>2.1436302113114887</v>
      </c>
      <c r="I4" s="12">
        <f t="shared" si="2"/>
        <v>89.487827380230925</v>
      </c>
      <c r="J4">
        <f t="shared" ref="J3:J66" si="3">IF(B4=B3,C4-C3,"")</f>
        <v>33413</v>
      </c>
      <c r="M4" s="5" t="s">
        <v>5</v>
      </c>
      <c r="N4" s="7">
        <v>469500</v>
      </c>
      <c r="P4" s="17">
        <f>SUM(C2:C1201)</f>
        <v>15439038766</v>
      </c>
    </row>
    <row r="5" spans="1:19" x14ac:dyDescent="0.3">
      <c r="A5" s="5" t="s">
        <v>5</v>
      </c>
      <c r="B5" s="6" t="s">
        <v>8</v>
      </c>
      <c r="C5" s="6">
        <v>5655168</v>
      </c>
      <c r="D5" s="6">
        <v>133058</v>
      </c>
      <c r="E5" s="6">
        <v>3998177</v>
      </c>
      <c r="F5" s="6"/>
      <c r="G5" s="7">
        <f t="shared" si="0"/>
        <v>1523933</v>
      </c>
      <c r="H5" s="12">
        <f t="shared" si="1"/>
        <v>2.3528567144247527</v>
      </c>
      <c r="I5" s="12">
        <f t="shared" si="2"/>
        <v>70.699526521581674</v>
      </c>
      <c r="J5">
        <f t="shared" si="3"/>
        <v>44872</v>
      </c>
      <c r="M5" s="5" t="s">
        <v>5</v>
      </c>
      <c r="N5" s="7">
        <v>1523933</v>
      </c>
    </row>
    <row r="6" spans="1:19" x14ac:dyDescent="0.3">
      <c r="A6" s="5" t="s">
        <v>5</v>
      </c>
      <c r="B6" s="6" t="s">
        <v>8</v>
      </c>
      <c r="C6" s="6">
        <v>5656556</v>
      </c>
      <c r="D6" s="6">
        <v>162536</v>
      </c>
      <c r="E6" s="6">
        <v>4020025</v>
      </c>
      <c r="F6" s="6"/>
      <c r="G6" s="7">
        <f t="shared" si="0"/>
        <v>1473995</v>
      </c>
      <c r="H6" s="12">
        <f t="shared" si="1"/>
        <v>2.8734091910342618</v>
      </c>
      <c r="I6" s="12">
        <f t="shared" si="2"/>
        <v>71.068420431089166</v>
      </c>
      <c r="J6">
        <f t="shared" si="3"/>
        <v>1388</v>
      </c>
      <c r="M6" s="5" t="s">
        <v>5</v>
      </c>
      <c r="N6" s="7">
        <v>1473995</v>
      </c>
    </row>
    <row r="7" spans="1:19" x14ac:dyDescent="0.3">
      <c r="A7" s="5" t="s">
        <v>5</v>
      </c>
      <c r="B7" s="6" t="s">
        <v>8</v>
      </c>
      <c r="C7" s="6">
        <v>5670777</v>
      </c>
      <c r="D7" s="6">
        <v>89467</v>
      </c>
      <c r="E7" s="6">
        <v>4114937</v>
      </c>
      <c r="F7" s="6"/>
      <c r="G7" s="7">
        <f t="shared" si="0"/>
        <v>1466373</v>
      </c>
      <c r="H7" s="12">
        <f t="shared" si="1"/>
        <v>1.5776850332855621</v>
      </c>
      <c r="I7" s="12">
        <f t="shared" si="2"/>
        <v>72.563900855209084</v>
      </c>
      <c r="J7">
        <f t="shared" si="3"/>
        <v>14221</v>
      </c>
      <c r="M7" s="5" t="s">
        <v>5</v>
      </c>
      <c r="N7" s="7">
        <v>1466373</v>
      </c>
    </row>
    <row r="8" spans="1:19" x14ac:dyDescent="0.3">
      <c r="A8" s="5" t="s">
        <v>5</v>
      </c>
      <c r="B8" s="6" t="s">
        <v>8</v>
      </c>
      <c r="C8" s="6">
        <v>5715879</v>
      </c>
      <c r="D8" s="6">
        <v>171318</v>
      </c>
      <c r="E8" s="6">
        <v>4287260</v>
      </c>
      <c r="F8" s="6"/>
      <c r="G8" s="7">
        <f t="shared" si="0"/>
        <v>1257301</v>
      </c>
      <c r="H8" s="12">
        <f t="shared" si="1"/>
        <v>2.997229297541113</v>
      </c>
      <c r="I8" s="12">
        <f t="shared" si="2"/>
        <v>75.006136414014364</v>
      </c>
      <c r="J8">
        <f t="shared" si="3"/>
        <v>45102</v>
      </c>
      <c r="M8" s="5" t="s">
        <v>5</v>
      </c>
      <c r="N8" s="7">
        <v>1257301</v>
      </c>
      <c r="P8" s="17">
        <f>SUM(E2:E1201)</f>
        <v>12369364052</v>
      </c>
    </row>
    <row r="9" spans="1:19" x14ac:dyDescent="0.3">
      <c r="A9" s="5" t="s">
        <v>5</v>
      </c>
      <c r="B9" s="6" t="s">
        <v>8</v>
      </c>
      <c r="C9" s="6">
        <v>5756295</v>
      </c>
      <c r="D9" s="6">
        <v>102387</v>
      </c>
      <c r="E9" s="6">
        <v>4212082</v>
      </c>
      <c r="F9" s="6"/>
      <c r="G9" s="7">
        <f t="shared" si="0"/>
        <v>1441826</v>
      </c>
      <c r="H9" s="12">
        <f t="shared" si="1"/>
        <v>1.7786961926030544</v>
      </c>
      <c r="I9" s="12">
        <f t="shared" si="2"/>
        <v>73.173490934707132</v>
      </c>
      <c r="J9">
        <f t="shared" si="3"/>
        <v>40416</v>
      </c>
      <c r="M9" s="5" t="s">
        <v>5</v>
      </c>
      <c r="N9" s="7">
        <v>1441826</v>
      </c>
    </row>
    <row r="10" spans="1:19" x14ac:dyDescent="0.3">
      <c r="A10" s="5" t="s">
        <v>14</v>
      </c>
      <c r="B10" s="6" t="s">
        <v>8</v>
      </c>
      <c r="C10" s="6">
        <v>5787171</v>
      </c>
      <c r="D10" s="6">
        <v>151121</v>
      </c>
      <c r="E10" s="6">
        <v>4194003</v>
      </c>
      <c r="F10" s="6"/>
      <c r="G10" s="7">
        <f t="shared" si="0"/>
        <v>1442047</v>
      </c>
      <c r="H10" s="12">
        <f t="shared" si="1"/>
        <v>2.6113104312970878</v>
      </c>
      <c r="I10" s="12">
        <f t="shared" si="2"/>
        <v>72.470694230393391</v>
      </c>
      <c r="J10">
        <f t="shared" si="3"/>
        <v>30876</v>
      </c>
      <c r="M10" s="5" t="s">
        <v>14</v>
      </c>
      <c r="N10" s="7">
        <v>1442047</v>
      </c>
      <c r="S10" s="23">
        <f>SUM(G2:G1201)</f>
        <v>2764521702</v>
      </c>
    </row>
    <row r="11" spans="1:19" x14ac:dyDescent="0.3">
      <c r="A11" s="5" t="s">
        <v>14</v>
      </c>
      <c r="B11" s="6" t="s">
        <v>8</v>
      </c>
      <c r="C11" s="6">
        <v>5818097</v>
      </c>
      <c r="D11" s="6">
        <v>112833</v>
      </c>
      <c r="E11" s="6">
        <v>4351492</v>
      </c>
      <c r="F11" s="6"/>
      <c r="G11" s="7">
        <f t="shared" si="0"/>
        <v>1353772</v>
      </c>
      <c r="H11" s="12">
        <f t="shared" si="1"/>
        <v>1.9393454595205271</v>
      </c>
      <c r="I11" s="12">
        <f t="shared" si="2"/>
        <v>74.792359082359752</v>
      </c>
      <c r="J11">
        <f t="shared" si="3"/>
        <v>30926</v>
      </c>
      <c r="M11" s="5" t="s">
        <v>14</v>
      </c>
      <c r="N11" s="7">
        <v>1353772</v>
      </c>
      <c r="P11" s="17">
        <f>SUM(D2:D1201)</f>
        <v>305153012</v>
      </c>
    </row>
    <row r="12" spans="1:19" x14ac:dyDescent="0.3">
      <c r="A12" s="5" t="s">
        <v>14</v>
      </c>
      <c r="B12" s="6" t="s">
        <v>8</v>
      </c>
      <c r="C12" s="6">
        <v>5838159</v>
      </c>
      <c r="D12" s="6">
        <v>71058</v>
      </c>
      <c r="E12" s="6">
        <v>5007429</v>
      </c>
      <c r="F12" s="6"/>
      <c r="G12" s="7">
        <f t="shared" si="0"/>
        <v>759672</v>
      </c>
      <c r="H12" s="12">
        <f t="shared" si="1"/>
        <v>1.217130263153162</v>
      </c>
      <c r="I12" s="12">
        <f t="shared" si="2"/>
        <v>85.77068558769983</v>
      </c>
      <c r="J12">
        <f t="shared" si="3"/>
        <v>20062</v>
      </c>
      <c r="M12" s="5" t="s">
        <v>14</v>
      </c>
      <c r="N12" s="7">
        <v>759672</v>
      </c>
    </row>
    <row r="13" spans="1:19" x14ac:dyDescent="0.3">
      <c r="A13" s="5" t="s">
        <v>14</v>
      </c>
      <c r="B13" s="6" t="s">
        <v>8</v>
      </c>
      <c r="C13" s="6">
        <v>5861930</v>
      </c>
      <c r="D13" s="6">
        <v>153719</v>
      </c>
      <c r="E13" s="6">
        <v>4278501</v>
      </c>
      <c r="F13" s="6"/>
      <c r="G13" s="7">
        <f t="shared" si="0"/>
        <v>1429710</v>
      </c>
      <c r="H13" s="12">
        <f t="shared" si="1"/>
        <v>2.6223274587038738</v>
      </c>
      <c r="I13" s="12">
        <f t="shared" si="2"/>
        <v>72.987923772545898</v>
      </c>
      <c r="J13">
        <f t="shared" si="3"/>
        <v>23771</v>
      </c>
      <c r="M13" s="5" t="s">
        <v>14</v>
      </c>
      <c r="N13" s="7">
        <v>1429710</v>
      </c>
    </row>
    <row r="14" spans="1:19" x14ac:dyDescent="0.3">
      <c r="A14" s="5" t="s">
        <v>14</v>
      </c>
      <c r="B14" s="6" t="s">
        <v>8</v>
      </c>
      <c r="C14" s="6">
        <v>5888707</v>
      </c>
      <c r="D14" s="6">
        <v>129581</v>
      </c>
      <c r="E14" s="6">
        <v>5172512</v>
      </c>
      <c r="F14" s="6"/>
      <c r="G14" s="7">
        <f t="shared" si="0"/>
        <v>586614</v>
      </c>
      <c r="H14" s="12">
        <f t="shared" si="1"/>
        <v>2.2005000418597835</v>
      </c>
      <c r="I14" s="12">
        <f t="shared" si="2"/>
        <v>87.837822462554172</v>
      </c>
      <c r="J14">
        <f t="shared" si="3"/>
        <v>26777</v>
      </c>
      <c r="M14" s="5" t="s">
        <v>14</v>
      </c>
      <c r="N14" s="7">
        <v>586614</v>
      </c>
    </row>
    <row r="15" spans="1:19" x14ac:dyDescent="0.3">
      <c r="A15" s="5" t="s">
        <v>14</v>
      </c>
      <c r="B15" s="6" t="s">
        <v>8</v>
      </c>
      <c r="C15" s="6">
        <v>5913230</v>
      </c>
      <c r="D15" s="6">
        <v>81927</v>
      </c>
      <c r="E15" s="6">
        <v>4415815</v>
      </c>
      <c r="F15" s="6"/>
      <c r="G15" s="7">
        <f t="shared" si="0"/>
        <v>1415488</v>
      </c>
      <c r="H15" s="12">
        <f t="shared" si="1"/>
        <v>1.3854864431114637</v>
      </c>
      <c r="I15" s="12">
        <f t="shared" si="2"/>
        <v>74.676868648775709</v>
      </c>
      <c r="J15">
        <f t="shared" si="3"/>
        <v>24523</v>
      </c>
      <c r="M15" s="5" t="s">
        <v>14</v>
      </c>
      <c r="N15" s="7">
        <v>1415488</v>
      </c>
    </row>
    <row r="16" spans="1:19" x14ac:dyDescent="0.3">
      <c r="A16" s="5" t="s">
        <v>14</v>
      </c>
      <c r="B16" s="6" t="s">
        <v>8</v>
      </c>
      <c r="C16" s="6">
        <v>5957961</v>
      </c>
      <c r="D16" s="6">
        <v>86686</v>
      </c>
      <c r="E16" s="6">
        <v>4755537</v>
      </c>
      <c r="F16" s="6"/>
      <c r="G16" s="7">
        <f t="shared" si="0"/>
        <v>1115738</v>
      </c>
      <c r="H16" s="12">
        <f t="shared" si="1"/>
        <v>1.4549608498612194</v>
      </c>
      <c r="I16" s="12">
        <f t="shared" si="2"/>
        <v>79.818196191616565</v>
      </c>
      <c r="J16">
        <f t="shared" si="3"/>
        <v>44731</v>
      </c>
      <c r="M16" s="5" t="s">
        <v>14</v>
      </c>
      <c r="N16" s="7">
        <v>1115738</v>
      </c>
    </row>
    <row r="17" spans="1:14" x14ac:dyDescent="0.3">
      <c r="A17" s="5" t="s">
        <v>14</v>
      </c>
      <c r="B17" s="6" t="s">
        <v>8</v>
      </c>
      <c r="C17" s="6">
        <v>5979001</v>
      </c>
      <c r="D17" s="6">
        <v>145874</v>
      </c>
      <c r="E17" s="6">
        <v>4974266</v>
      </c>
      <c r="F17" s="6"/>
      <c r="G17" s="7">
        <f t="shared" si="0"/>
        <v>858861</v>
      </c>
      <c r="H17" s="12">
        <f t="shared" si="1"/>
        <v>2.4397721291566934</v>
      </c>
      <c r="I17" s="12">
        <f t="shared" si="2"/>
        <v>83.195604081685218</v>
      </c>
      <c r="J17">
        <f t="shared" si="3"/>
        <v>21040</v>
      </c>
      <c r="M17" s="5" t="s">
        <v>14</v>
      </c>
      <c r="N17" s="7">
        <v>858861</v>
      </c>
    </row>
    <row r="18" spans="1:14" x14ac:dyDescent="0.3">
      <c r="A18" s="5" t="s">
        <v>15</v>
      </c>
      <c r="B18" s="6" t="s">
        <v>8</v>
      </c>
      <c r="C18" s="6">
        <v>6014219</v>
      </c>
      <c r="D18" s="6">
        <v>161011</v>
      </c>
      <c r="E18" s="6">
        <v>4287186</v>
      </c>
      <c r="F18" s="6"/>
      <c r="G18" s="7">
        <f t="shared" si="0"/>
        <v>1566022</v>
      </c>
      <c r="H18" s="12">
        <f t="shared" si="1"/>
        <v>2.6771722147131656</v>
      </c>
      <c r="I18" s="12">
        <f t="shared" si="2"/>
        <v>71.284168401582974</v>
      </c>
      <c r="J18">
        <f t="shared" si="3"/>
        <v>35218</v>
      </c>
      <c r="M18" s="5" t="s">
        <v>15</v>
      </c>
      <c r="N18" s="7">
        <v>1566022</v>
      </c>
    </row>
    <row r="19" spans="1:14" x14ac:dyDescent="0.3">
      <c r="A19" s="5" t="s">
        <v>15</v>
      </c>
      <c r="B19" s="6" t="s">
        <v>8</v>
      </c>
      <c r="C19" s="6">
        <v>6037172</v>
      </c>
      <c r="D19" s="6">
        <v>177259</v>
      </c>
      <c r="E19" s="6">
        <v>4484516</v>
      </c>
      <c r="F19" s="6"/>
      <c r="G19" s="7">
        <f t="shared" si="0"/>
        <v>1375397</v>
      </c>
      <c r="H19" s="12">
        <f t="shared" si="1"/>
        <v>2.9361263850027792</v>
      </c>
      <c r="I19" s="12">
        <f t="shared" si="2"/>
        <v>74.281733235362509</v>
      </c>
      <c r="J19">
        <f t="shared" si="3"/>
        <v>22953</v>
      </c>
      <c r="M19" s="5" t="s">
        <v>15</v>
      </c>
      <c r="N19" s="7">
        <v>1375397</v>
      </c>
    </row>
    <row r="20" spans="1:14" x14ac:dyDescent="0.3">
      <c r="A20" s="5" t="s">
        <v>15</v>
      </c>
      <c r="B20" s="6" t="s">
        <v>8</v>
      </c>
      <c r="C20" s="6">
        <v>6059429</v>
      </c>
      <c r="D20" s="6">
        <v>167215</v>
      </c>
      <c r="E20" s="6">
        <v>4507287</v>
      </c>
      <c r="F20" s="6"/>
      <c r="G20" s="7">
        <f t="shared" si="0"/>
        <v>1384927</v>
      </c>
      <c r="H20" s="12">
        <f t="shared" si="1"/>
        <v>2.7595834525002272</v>
      </c>
      <c r="I20" s="12">
        <f t="shared" si="2"/>
        <v>74.384682121038139</v>
      </c>
      <c r="J20">
        <f t="shared" si="3"/>
        <v>22257</v>
      </c>
      <c r="M20" s="5" t="s">
        <v>15</v>
      </c>
      <c r="N20" s="7">
        <v>1384927</v>
      </c>
    </row>
    <row r="21" spans="1:14" x14ac:dyDescent="0.3">
      <c r="A21" s="5" t="s">
        <v>15</v>
      </c>
      <c r="B21" s="6" t="s">
        <v>8</v>
      </c>
      <c r="C21" s="6">
        <v>6093888</v>
      </c>
      <c r="D21" s="6">
        <v>145357</v>
      </c>
      <c r="E21" s="6">
        <v>4694922</v>
      </c>
      <c r="F21" s="6"/>
      <c r="G21" s="7">
        <f t="shared" si="0"/>
        <v>1253609</v>
      </c>
      <c r="H21" s="12">
        <f t="shared" si="1"/>
        <v>2.3852916233445711</v>
      </c>
      <c r="I21" s="12">
        <f t="shared" si="2"/>
        <v>77.0431291155991</v>
      </c>
      <c r="J21">
        <f t="shared" si="3"/>
        <v>34459</v>
      </c>
      <c r="M21" s="5" t="s">
        <v>15</v>
      </c>
      <c r="N21" s="7">
        <v>1253609</v>
      </c>
    </row>
    <row r="22" spans="1:14" x14ac:dyDescent="0.3">
      <c r="A22" s="5" t="s">
        <v>15</v>
      </c>
      <c r="B22" s="6" t="s">
        <v>8</v>
      </c>
      <c r="C22" s="6">
        <v>6096348</v>
      </c>
      <c r="D22" s="6">
        <v>101127</v>
      </c>
      <c r="E22" s="6">
        <v>4866111</v>
      </c>
      <c r="F22" s="6"/>
      <c r="G22" s="7">
        <f t="shared" si="0"/>
        <v>1129110</v>
      </c>
      <c r="H22" s="12">
        <f t="shared" si="1"/>
        <v>1.658812784309557</v>
      </c>
      <c r="I22" s="12">
        <f t="shared" si="2"/>
        <v>79.820098852624554</v>
      </c>
      <c r="J22">
        <f t="shared" si="3"/>
        <v>2460</v>
      </c>
      <c r="M22" s="5" t="s">
        <v>15</v>
      </c>
      <c r="N22" s="7">
        <v>1129110</v>
      </c>
    </row>
    <row r="23" spans="1:14" x14ac:dyDescent="0.3">
      <c r="A23" s="5" t="s">
        <v>15</v>
      </c>
      <c r="B23" s="6" t="s">
        <v>8</v>
      </c>
      <c r="C23" s="6">
        <v>6125242</v>
      </c>
      <c r="D23" s="6">
        <v>140256</v>
      </c>
      <c r="E23" s="6">
        <v>5427372</v>
      </c>
      <c r="F23" s="6"/>
      <c r="G23" s="7">
        <f t="shared" si="0"/>
        <v>557614</v>
      </c>
      <c r="H23" s="12">
        <f t="shared" si="1"/>
        <v>2.2898034069511053</v>
      </c>
      <c r="I23" s="12">
        <f t="shared" si="2"/>
        <v>88.606654235048993</v>
      </c>
      <c r="J23">
        <f t="shared" si="3"/>
        <v>28894</v>
      </c>
      <c r="M23" s="5" t="s">
        <v>15</v>
      </c>
      <c r="N23" s="7">
        <v>557614</v>
      </c>
    </row>
    <row r="24" spans="1:14" x14ac:dyDescent="0.3">
      <c r="A24" s="5" t="s">
        <v>15</v>
      </c>
      <c r="B24" s="6" t="s">
        <v>8</v>
      </c>
      <c r="C24" s="6">
        <v>6173396</v>
      </c>
      <c r="D24" s="6">
        <v>165742</v>
      </c>
      <c r="E24" s="6">
        <v>4833447</v>
      </c>
      <c r="F24" s="6"/>
      <c r="G24" s="7">
        <f t="shared" si="0"/>
        <v>1174207</v>
      </c>
      <c r="H24" s="12">
        <f t="shared" si="1"/>
        <v>2.6847783618611216</v>
      </c>
      <c r="I24" s="12">
        <f t="shared" si="2"/>
        <v>78.294782968725812</v>
      </c>
      <c r="J24">
        <f t="shared" si="3"/>
        <v>48154</v>
      </c>
      <c r="M24" s="5" t="s">
        <v>15</v>
      </c>
      <c r="N24" s="7">
        <v>1174207</v>
      </c>
    </row>
    <row r="25" spans="1:14" x14ac:dyDescent="0.3">
      <c r="A25" s="5" t="s">
        <v>15</v>
      </c>
      <c r="B25" s="6" t="s">
        <v>8</v>
      </c>
      <c r="C25" s="6">
        <v>6194154</v>
      </c>
      <c r="D25" s="6">
        <v>108373</v>
      </c>
      <c r="E25" s="6">
        <v>4398208</v>
      </c>
      <c r="F25" s="6"/>
      <c r="G25" s="7">
        <f t="shared" si="0"/>
        <v>1687573</v>
      </c>
      <c r="H25" s="12">
        <f t="shared" si="1"/>
        <v>1.7496013176294938</v>
      </c>
      <c r="I25" s="12">
        <f t="shared" si="2"/>
        <v>71.005790298400711</v>
      </c>
      <c r="J25">
        <f t="shared" si="3"/>
        <v>20758</v>
      </c>
      <c r="M25" s="5" t="s">
        <v>15</v>
      </c>
      <c r="N25" s="7">
        <v>1687573</v>
      </c>
    </row>
    <row r="26" spans="1:14" x14ac:dyDescent="0.3">
      <c r="A26" s="5" t="s">
        <v>16</v>
      </c>
      <c r="B26" s="6" t="s">
        <v>8</v>
      </c>
      <c r="C26" s="6">
        <v>6203112</v>
      </c>
      <c r="D26" s="6">
        <v>152462</v>
      </c>
      <c r="E26" s="6">
        <v>4762684</v>
      </c>
      <c r="F26" s="6"/>
      <c r="G26" s="7">
        <f t="shared" si="0"/>
        <v>1287966</v>
      </c>
      <c r="H26" s="12">
        <f t="shared" si="1"/>
        <v>2.4578308436152696</v>
      </c>
      <c r="I26" s="12">
        <f t="shared" si="2"/>
        <v>76.778945793659702</v>
      </c>
      <c r="J26">
        <f t="shared" si="3"/>
        <v>8958</v>
      </c>
      <c r="M26" s="5" t="s">
        <v>16</v>
      </c>
      <c r="N26" s="7">
        <v>1287966</v>
      </c>
    </row>
    <row r="27" spans="1:14" x14ac:dyDescent="0.3">
      <c r="A27" s="5" t="s">
        <v>16</v>
      </c>
      <c r="B27" s="6" t="s">
        <v>8</v>
      </c>
      <c r="C27" s="6">
        <v>6230933</v>
      </c>
      <c r="D27" s="6">
        <v>77600</v>
      </c>
      <c r="E27" s="6">
        <v>5392780</v>
      </c>
      <c r="F27" s="6"/>
      <c r="G27" s="7">
        <f t="shared" si="0"/>
        <v>760553</v>
      </c>
      <c r="H27" s="12">
        <f t="shared" si="1"/>
        <v>1.2453993647500301</v>
      </c>
      <c r="I27" s="12">
        <f t="shared" si="2"/>
        <v>86.548515286554988</v>
      </c>
      <c r="J27">
        <f t="shared" si="3"/>
        <v>27821</v>
      </c>
      <c r="M27" s="5" t="s">
        <v>16</v>
      </c>
      <c r="N27" s="7">
        <v>760553</v>
      </c>
    </row>
    <row r="28" spans="1:14" x14ac:dyDescent="0.3">
      <c r="A28" s="5" t="s">
        <v>16</v>
      </c>
      <c r="B28" s="6" t="s">
        <v>8</v>
      </c>
      <c r="C28" s="6">
        <v>6252899</v>
      </c>
      <c r="D28" s="6">
        <v>91035</v>
      </c>
      <c r="E28" s="6">
        <v>4986420</v>
      </c>
      <c r="F28" s="6"/>
      <c r="G28" s="7">
        <f t="shared" si="0"/>
        <v>1175444</v>
      </c>
      <c r="H28" s="12">
        <f t="shared" si="1"/>
        <v>1.4558847024396204</v>
      </c>
      <c r="I28" s="12">
        <f t="shared" si="2"/>
        <v>79.745730740253435</v>
      </c>
      <c r="J28">
        <f t="shared" si="3"/>
        <v>21966</v>
      </c>
      <c r="M28" s="5" t="s">
        <v>16</v>
      </c>
      <c r="N28" s="7">
        <v>1175444</v>
      </c>
    </row>
    <row r="29" spans="1:14" x14ac:dyDescent="0.3">
      <c r="A29" s="5" t="s">
        <v>16</v>
      </c>
      <c r="B29" s="6" t="s">
        <v>8</v>
      </c>
      <c r="C29" s="6">
        <v>6288830</v>
      </c>
      <c r="D29" s="6">
        <v>167383</v>
      </c>
      <c r="E29" s="6">
        <v>5158767</v>
      </c>
      <c r="F29" s="6"/>
      <c r="G29" s="7">
        <f xml:space="preserve"> C29-D29-E29</f>
        <v>962680</v>
      </c>
      <c r="H29" s="12">
        <f t="shared" si="1"/>
        <v>2.6615920608443857</v>
      </c>
      <c r="I29" s="12">
        <f t="shared" si="2"/>
        <v>82.030632088957717</v>
      </c>
      <c r="J29">
        <f t="shared" si="3"/>
        <v>35931</v>
      </c>
      <c r="M29" s="5" t="s">
        <v>16</v>
      </c>
      <c r="N29" s="7">
        <v>962680</v>
      </c>
    </row>
    <row r="30" spans="1:14" x14ac:dyDescent="0.3">
      <c r="A30" s="5" t="s">
        <v>16</v>
      </c>
      <c r="B30" s="6" t="s">
        <v>8</v>
      </c>
      <c r="C30" s="6">
        <v>6334756</v>
      </c>
      <c r="D30" s="6">
        <v>166863</v>
      </c>
      <c r="E30" s="6">
        <v>5657777</v>
      </c>
      <c r="F30" s="6"/>
      <c r="G30" s="7">
        <f t="shared" si="0"/>
        <v>510116</v>
      </c>
      <c r="H30" s="12">
        <f t="shared" si="1"/>
        <v>2.6340872481907747</v>
      </c>
      <c r="I30" s="12">
        <f t="shared" si="2"/>
        <v>89.313258474359543</v>
      </c>
      <c r="J30">
        <f t="shared" si="3"/>
        <v>45926</v>
      </c>
      <c r="M30" s="5" t="s">
        <v>16</v>
      </c>
      <c r="N30" s="7">
        <v>510116</v>
      </c>
    </row>
    <row r="31" spans="1:14" x14ac:dyDescent="0.3">
      <c r="A31" s="5" t="s">
        <v>16</v>
      </c>
      <c r="B31" s="6" t="s">
        <v>8</v>
      </c>
      <c r="C31" s="6">
        <v>6361993</v>
      </c>
      <c r="D31" s="6">
        <v>181613</v>
      </c>
      <c r="E31" s="6">
        <v>5221309</v>
      </c>
      <c r="F31" s="6"/>
      <c r="G31" s="7">
        <f t="shared" si="0"/>
        <v>959071</v>
      </c>
      <c r="H31" s="12">
        <f t="shared" si="1"/>
        <v>2.854655765889714</v>
      </c>
      <c r="I31" s="12">
        <f t="shared" si="2"/>
        <v>82.070335506499305</v>
      </c>
      <c r="J31">
        <f t="shared" si="3"/>
        <v>27237</v>
      </c>
      <c r="M31" s="5" t="s">
        <v>16</v>
      </c>
      <c r="N31" s="7">
        <v>959071</v>
      </c>
    </row>
    <row r="32" spans="1:14" x14ac:dyDescent="0.3">
      <c r="A32" s="5" t="s">
        <v>16</v>
      </c>
      <c r="B32" s="6" t="s">
        <v>8</v>
      </c>
      <c r="C32" s="6">
        <v>6410694</v>
      </c>
      <c r="D32" s="6">
        <v>132918</v>
      </c>
      <c r="E32" s="6">
        <v>5376376</v>
      </c>
      <c r="F32" s="6"/>
      <c r="G32" s="7">
        <f t="shared" si="0"/>
        <v>901400</v>
      </c>
      <c r="H32" s="12">
        <f t="shared" si="1"/>
        <v>2.0733792628380017</v>
      </c>
      <c r="I32" s="12">
        <f t="shared" si="2"/>
        <v>83.865740589084425</v>
      </c>
      <c r="J32">
        <f t="shared" si="3"/>
        <v>48701</v>
      </c>
      <c r="M32" s="5" t="s">
        <v>16</v>
      </c>
      <c r="N32" s="7">
        <v>901400</v>
      </c>
    </row>
    <row r="33" spans="1:14" x14ac:dyDescent="0.3">
      <c r="A33" s="5" t="s">
        <v>16</v>
      </c>
      <c r="B33" s="6" t="s">
        <v>8</v>
      </c>
      <c r="C33" s="6">
        <v>6421872</v>
      </c>
      <c r="D33" s="6">
        <v>128756</v>
      </c>
      <c r="E33" s="6">
        <v>4682774</v>
      </c>
      <c r="F33" s="6"/>
      <c r="G33" s="7">
        <f t="shared" si="0"/>
        <v>1610342</v>
      </c>
      <c r="H33" s="12">
        <f t="shared" si="1"/>
        <v>2.0049605473295018</v>
      </c>
      <c r="I33" s="12">
        <f t="shared" si="2"/>
        <v>72.919142580232048</v>
      </c>
      <c r="J33">
        <f t="shared" si="3"/>
        <v>11178</v>
      </c>
      <c r="M33" s="5" t="s">
        <v>16</v>
      </c>
      <c r="N33" s="7">
        <v>1610342</v>
      </c>
    </row>
    <row r="34" spans="1:14" x14ac:dyDescent="0.3">
      <c r="A34" s="5" t="s">
        <v>17</v>
      </c>
      <c r="B34" s="6" t="s">
        <v>8</v>
      </c>
      <c r="C34" s="6">
        <v>6470175</v>
      </c>
      <c r="D34" s="6">
        <v>117302</v>
      </c>
      <c r="E34" s="6">
        <v>4649012</v>
      </c>
      <c r="F34" s="6"/>
      <c r="G34" s="7">
        <f t="shared" si="0"/>
        <v>1703861</v>
      </c>
      <c r="H34" s="12">
        <f t="shared" si="1"/>
        <v>1.8129648734385082</v>
      </c>
      <c r="I34" s="12">
        <f t="shared" si="2"/>
        <v>71.852956063784973</v>
      </c>
      <c r="J34">
        <f t="shared" si="3"/>
        <v>48303</v>
      </c>
      <c r="M34" s="5" t="s">
        <v>17</v>
      </c>
      <c r="N34" s="7">
        <v>1703861</v>
      </c>
    </row>
    <row r="35" spans="1:14" x14ac:dyDescent="0.3">
      <c r="A35" s="5" t="s">
        <v>17</v>
      </c>
      <c r="B35" s="6" t="s">
        <v>8</v>
      </c>
      <c r="C35" s="6">
        <v>6497758</v>
      </c>
      <c r="D35" s="6">
        <v>76504</v>
      </c>
      <c r="E35" s="6">
        <v>5422006</v>
      </c>
      <c r="F35" s="6"/>
      <c r="G35" s="7">
        <f t="shared" si="0"/>
        <v>999248</v>
      </c>
      <c r="H35" s="12">
        <f t="shared" si="1"/>
        <v>1.1773907246160906</v>
      </c>
      <c r="I35" s="12">
        <f t="shared" si="2"/>
        <v>83.444258773564655</v>
      </c>
      <c r="J35">
        <f t="shared" si="3"/>
        <v>27583</v>
      </c>
      <c r="M35" s="5" t="s">
        <v>17</v>
      </c>
      <c r="N35" s="7">
        <v>999248</v>
      </c>
    </row>
    <row r="36" spans="1:14" x14ac:dyDescent="0.3">
      <c r="A36" s="5" t="s">
        <v>17</v>
      </c>
      <c r="B36" s="6" t="s">
        <v>8</v>
      </c>
      <c r="C36" s="6">
        <v>6506093</v>
      </c>
      <c r="D36" s="6">
        <v>88679</v>
      </c>
      <c r="E36" s="6">
        <v>5226285</v>
      </c>
      <c r="F36" s="6"/>
      <c r="G36" s="7">
        <f t="shared" si="0"/>
        <v>1191129</v>
      </c>
      <c r="H36" s="12">
        <f t="shared" si="1"/>
        <v>1.3630146387394093</v>
      </c>
      <c r="I36" s="12">
        <f t="shared" si="2"/>
        <v>80.329085366594057</v>
      </c>
      <c r="J36">
        <f t="shared" si="3"/>
        <v>8335</v>
      </c>
      <c r="M36" s="5" t="s">
        <v>17</v>
      </c>
      <c r="N36" s="7">
        <v>1191129</v>
      </c>
    </row>
    <row r="37" spans="1:14" x14ac:dyDescent="0.3">
      <c r="A37" s="5" t="s">
        <v>17</v>
      </c>
      <c r="B37" s="6" t="s">
        <v>8</v>
      </c>
      <c r="C37" s="6">
        <v>6543780</v>
      </c>
      <c r="D37" s="6">
        <v>103649</v>
      </c>
      <c r="E37" s="6">
        <v>5435268</v>
      </c>
      <c r="F37" s="6"/>
      <c r="G37" s="7">
        <f t="shared" si="0"/>
        <v>1004863</v>
      </c>
      <c r="H37" s="12">
        <f t="shared" si="1"/>
        <v>1.5839316113928037</v>
      </c>
      <c r="I37" s="12">
        <f t="shared" si="2"/>
        <v>83.06006620026956</v>
      </c>
      <c r="J37">
        <f t="shared" si="3"/>
        <v>37687</v>
      </c>
      <c r="M37" s="5" t="s">
        <v>17</v>
      </c>
      <c r="N37" s="7">
        <v>1004863</v>
      </c>
    </row>
    <row r="38" spans="1:14" x14ac:dyDescent="0.3">
      <c r="A38" s="5" t="s">
        <v>17</v>
      </c>
      <c r="B38" s="6" t="s">
        <v>8</v>
      </c>
      <c r="C38" s="6">
        <v>6580989</v>
      </c>
      <c r="D38" s="6">
        <v>90986</v>
      </c>
      <c r="E38" s="6">
        <v>5043560</v>
      </c>
      <c r="F38" s="6"/>
      <c r="G38" s="7">
        <f t="shared" si="0"/>
        <v>1446443</v>
      </c>
      <c r="H38" s="12">
        <f t="shared" si="1"/>
        <v>1.3825581534933427</v>
      </c>
      <c r="I38" s="12">
        <f t="shared" si="2"/>
        <v>76.638328980644104</v>
      </c>
      <c r="J38">
        <f t="shared" si="3"/>
        <v>37209</v>
      </c>
      <c r="M38" s="5" t="s">
        <v>17</v>
      </c>
      <c r="N38" s="7">
        <v>1446443</v>
      </c>
    </row>
    <row r="39" spans="1:14" x14ac:dyDescent="0.3">
      <c r="A39" s="5" t="s">
        <v>17</v>
      </c>
      <c r="B39" s="6" t="s">
        <v>8</v>
      </c>
      <c r="C39" s="6">
        <v>6586950</v>
      </c>
      <c r="D39" s="6">
        <v>151922</v>
      </c>
      <c r="E39" s="6">
        <v>4791084</v>
      </c>
      <c r="F39" s="6"/>
      <c r="G39" s="7">
        <f t="shared" si="0"/>
        <v>1643944</v>
      </c>
      <c r="H39" s="12">
        <f t="shared" si="1"/>
        <v>2.3064088842332184</v>
      </c>
      <c r="I39" s="12">
        <f t="shared" si="2"/>
        <v>72.736000728713591</v>
      </c>
      <c r="J39">
        <f t="shared" si="3"/>
        <v>5961</v>
      </c>
      <c r="M39" s="5" t="s">
        <v>17</v>
      </c>
      <c r="N39" s="7">
        <v>1643944</v>
      </c>
    </row>
    <row r="40" spans="1:14" x14ac:dyDescent="0.3">
      <c r="A40" s="5" t="s">
        <v>17</v>
      </c>
      <c r="B40" s="6" t="s">
        <v>8</v>
      </c>
      <c r="C40" s="6">
        <v>6593172</v>
      </c>
      <c r="D40" s="6">
        <v>158227</v>
      </c>
      <c r="E40" s="6">
        <v>5145935</v>
      </c>
      <c r="F40" s="6"/>
      <c r="G40" s="7">
        <f t="shared" si="0"/>
        <v>1289010</v>
      </c>
      <c r="H40" s="12">
        <f t="shared" si="1"/>
        <v>2.3998615537407488</v>
      </c>
      <c r="I40" s="12">
        <f t="shared" si="2"/>
        <v>78.049457833043036</v>
      </c>
      <c r="J40">
        <f t="shared" si="3"/>
        <v>6222</v>
      </c>
      <c r="M40" s="5" t="s">
        <v>17</v>
      </c>
      <c r="N40" s="7">
        <v>1289010</v>
      </c>
    </row>
    <row r="41" spans="1:14" x14ac:dyDescent="0.3">
      <c r="A41" s="5" t="s">
        <v>17</v>
      </c>
      <c r="B41" s="6" t="s">
        <v>8</v>
      </c>
      <c r="C41" s="6">
        <v>6634713</v>
      </c>
      <c r="D41" s="6">
        <v>120207</v>
      </c>
      <c r="E41" s="6">
        <v>5042592</v>
      </c>
      <c r="F41" s="6"/>
      <c r="G41" s="7">
        <f t="shared" si="0"/>
        <v>1471914</v>
      </c>
      <c r="H41" s="12">
        <f t="shared" si="1"/>
        <v>1.8117889952436528</v>
      </c>
      <c r="I41" s="12">
        <f t="shared" si="2"/>
        <v>76.003166979491056</v>
      </c>
      <c r="J41">
        <f t="shared" si="3"/>
        <v>41541</v>
      </c>
      <c r="M41" s="5" t="s">
        <v>17</v>
      </c>
      <c r="N41" s="7">
        <v>1471914</v>
      </c>
    </row>
    <row r="42" spans="1:14" x14ac:dyDescent="0.3">
      <c r="A42" s="5" t="s">
        <v>18</v>
      </c>
      <c r="B42" s="6" t="s">
        <v>8</v>
      </c>
      <c r="C42" s="6">
        <v>6680982</v>
      </c>
      <c r="D42" s="6">
        <v>103733</v>
      </c>
      <c r="E42" s="6">
        <v>4904991</v>
      </c>
      <c r="F42" s="6"/>
      <c r="G42" s="7">
        <f t="shared" si="0"/>
        <v>1672258</v>
      </c>
      <c r="H42" s="12">
        <f t="shared" si="1"/>
        <v>1.5526609710967638</v>
      </c>
      <c r="I42" s="12">
        <f t="shared" si="2"/>
        <v>73.417216211628769</v>
      </c>
      <c r="J42">
        <f t="shared" si="3"/>
        <v>46269</v>
      </c>
      <c r="M42" s="5" t="s">
        <v>18</v>
      </c>
      <c r="N42" s="7">
        <v>1672258</v>
      </c>
    </row>
    <row r="43" spans="1:14" x14ac:dyDescent="0.3">
      <c r="A43" s="5" t="s">
        <v>18</v>
      </c>
      <c r="B43" s="6" t="s">
        <v>8</v>
      </c>
      <c r="C43" s="6">
        <v>6685363</v>
      </c>
      <c r="D43" s="6">
        <v>190185</v>
      </c>
      <c r="E43" s="6">
        <v>5933595</v>
      </c>
      <c r="F43" s="6"/>
      <c r="G43" s="7">
        <f t="shared" si="0"/>
        <v>561583</v>
      </c>
      <c r="H43" s="12">
        <f t="shared" si="1"/>
        <v>2.8447969093076919</v>
      </c>
      <c r="I43" s="12">
        <f t="shared" si="2"/>
        <v>88.75501599539173</v>
      </c>
      <c r="J43">
        <f t="shared" si="3"/>
        <v>4381</v>
      </c>
      <c r="M43" s="5" t="s">
        <v>18</v>
      </c>
      <c r="N43" s="7">
        <v>561583</v>
      </c>
    </row>
    <row r="44" spans="1:14" x14ac:dyDescent="0.3">
      <c r="A44" s="5" t="s">
        <v>18</v>
      </c>
      <c r="B44" s="6" t="s">
        <v>8</v>
      </c>
      <c r="C44" s="6">
        <v>6704196</v>
      </c>
      <c r="D44" s="6">
        <v>67242</v>
      </c>
      <c r="E44" s="6">
        <v>4790570</v>
      </c>
      <c r="F44" s="6"/>
      <c r="G44" s="7">
        <f t="shared" si="0"/>
        <v>1846384</v>
      </c>
      <c r="H44" s="12">
        <f t="shared" si="1"/>
        <v>1.0029838029795073</v>
      </c>
      <c r="I44" s="12">
        <f t="shared" si="2"/>
        <v>71.456293938900345</v>
      </c>
      <c r="J44">
        <f t="shared" si="3"/>
        <v>18833</v>
      </c>
      <c r="M44" s="5" t="s">
        <v>18</v>
      </c>
      <c r="N44" s="7">
        <v>1846384</v>
      </c>
    </row>
    <row r="45" spans="1:14" x14ac:dyDescent="0.3">
      <c r="A45" s="5" t="s">
        <v>18</v>
      </c>
      <c r="B45" s="6" t="s">
        <v>8</v>
      </c>
      <c r="C45" s="6">
        <v>6725881</v>
      </c>
      <c r="D45" s="6">
        <v>84262</v>
      </c>
      <c r="E45" s="6">
        <v>5471084</v>
      </c>
      <c r="F45" s="6"/>
      <c r="G45" s="7">
        <f t="shared" si="0"/>
        <v>1170535</v>
      </c>
      <c r="H45" s="12">
        <f t="shared" si="1"/>
        <v>1.2528024209765234</v>
      </c>
      <c r="I45" s="12">
        <f t="shared" si="2"/>
        <v>81.343752587950931</v>
      </c>
      <c r="J45">
        <f t="shared" si="3"/>
        <v>21685</v>
      </c>
      <c r="M45" s="5" t="s">
        <v>18</v>
      </c>
      <c r="N45" s="7">
        <v>1170535</v>
      </c>
    </row>
    <row r="46" spans="1:14" x14ac:dyDescent="0.3">
      <c r="A46" s="5" t="s">
        <v>18</v>
      </c>
      <c r="B46" s="6" t="s">
        <v>8</v>
      </c>
      <c r="C46" s="6">
        <v>6740038</v>
      </c>
      <c r="D46" s="6">
        <v>67937</v>
      </c>
      <c r="E46" s="6">
        <v>6014073</v>
      </c>
      <c r="F46" s="6"/>
      <c r="G46" s="7">
        <f t="shared" si="0"/>
        <v>658028</v>
      </c>
      <c r="H46" s="12">
        <f t="shared" si="1"/>
        <v>1.0079616761804606</v>
      </c>
      <c r="I46" s="12">
        <f t="shared" si="2"/>
        <v>89.229066661048492</v>
      </c>
      <c r="J46">
        <f t="shared" si="3"/>
        <v>14157</v>
      </c>
      <c r="M46" s="5" t="s">
        <v>18</v>
      </c>
      <c r="N46" s="7">
        <v>658028</v>
      </c>
    </row>
    <row r="47" spans="1:14" x14ac:dyDescent="0.3">
      <c r="A47" s="5" t="s">
        <v>18</v>
      </c>
      <c r="B47" s="6" t="s">
        <v>8</v>
      </c>
      <c r="C47" s="6">
        <v>6758356</v>
      </c>
      <c r="D47" s="6">
        <v>153393</v>
      </c>
      <c r="E47" s="6">
        <v>6038339</v>
      </c>
      <c r="F47" s="6"/>
      <c r="G47" s="7">
        <f t="shared" si="0"/>
        <v>566624</v>
      </c>
      <c r="H47" s="12">
        <f t="shared" si="1"/>
        <v>2.26967919417089</v>
      </c>
      <c r="I47" s="12">
        <f t="shared" si="2"/>
        <v>89.346270010043867</v>
      </c>
      <c r="J47">
        <f t="shared" si="3"/>
        <v>18318</v>
      </c>
      <c r="M47" s="5" t="s">
        <v>18</v>
      </c>
      <c r="N47" s="7">
        <v>566624</v>
      </c>
    </row>
    <row r="48" spans="1:14" x14ac:dyDescent="0.3">
      <c r="A48" s="5" t="s">
        <v>18</v>
      </c>
      <c r="B48" s="6" t="s">
        <v>8</v>
      </c>
      <c r="C48" s="6">
        <v>6776661</v>
      </c>
      <c r="D48" s="6">
        <v>199059</v>
      </c>
      <c r="E48" s="6">
        <v>5563537</v>
      </c>
      <c r="F48" s="6"/>
      <c r="G48" s="7">
        <f t="shared" si="0"/>
        <v>1014065</v>
      </c>
      <c r="H48" s="12">
        <f t="shared" si="1"/>
        <v>2.9374200657226326</v>
      </c>
      <c r="I48" s="12">
        <f t="shared" si="2"/>
        <v>82.098499541293265</v>
      </c>
      <c r="J48">
        <f t="shared" si="3"/>
        <v>18305</v>
      </c>
      <c r="M48" s="5" t="s">
        <v>18</v>
      </c>
      <c r="N48" s="7">
        <v>1014065</v>
      </c>
    </row>
    <row r="49" spans="1:14" x14ac:dyDescent="0.3">
      <c r="A49" s="5" t="s">
        <v>18</v>
      </c>
      <c r="B49" s="6" t="s">
        <v>8</v>
      </c>
      <c r="C49" s="6">
        <v>6812026</v>
      </c>
      <c r="D49" s="6">
        <v>140903</v>
      </c>
      <c r="E49" s="6">
        <v>5350523</v>
      </c>
      <c r="F49" s="6"/>
      <c r="G49" s="7">
        <f t="shared" si="0"/>
        <v>1320600</v>
      </c>
      <c r="H49" s="12">
        <f t="shared" si="1"/>
        <v>2.0684448356480143</v>
      </c>
      <c r="I49" s="12">
        <f t="shared" si="2"/>
        <v>78.545252176078023</v>
      </c>
      <c r="J49">
        <f t="shared" si="3"/>
        <v>35365</v>
      </c>
      <c r="M49" s="5" t="s">
        <v>18</v>
      </c>
      <c r="N49" s="7">
        <v>1320600</v>
      </c>
    </row>
    <row r="50" spans="1:14" x14ac:dyDescent="0.3">
      <c r="A50" s="5" t="s">
        <v>19</v>
      </c>
      <c r="B50" s="6" t="s">
        <v>8</v>
      </c>
      <c r="C50" s="6">
        <v>6840151</v>
      </c>
      <c r="D50" s="6">
        <v>73476</v>
      </c>
      <c r="E50" s="6">
        <v>5422927</v>
      </c>
      <c r="F50" s="6"/>
      <c r="G50" s="7">
        <f t="shared" si="0"/>
        <v>1343748</v>
      </c>
      <c r="H50" s="12">
        <f t="shared" si="1"/>
        <v>1.0741868125425886</v>
      </c>
      <c r="I50" s="12">
        <f t="shared" si="2"/>
        <v>79.280808274554175</v>
      </c>
      <c r="J50">
        <f t="shared" si="3"/>
        <v>28125</v>
      </c>
      <c r="M50" s="5" t="s">
        <v>19</v>
      </c>
      <c r="N50" s="7">
        <v>1343748</v>
      </c>
    </row>
    <row r="51" spans="1:14" x14ac:dyDescent="0.3">
      <c r="A51" s="5" t="s">
        <v>19</v>
      </c>
      <c r="B51" s="6" t="s">
        <v>8</v>
      </c>
      <c r="C51" s="6">
        <v>6854394</v>
      </c>
      <c r="D51" s="6">
        <v>136431</v>
      </c>
      <c r="E51" s="6">
        <v>4952352</v>
      </c>
      <c r="F51" s="6"/>
      <c r="G51" s="7">
        <f t="shared" si="0"/>
        <v>1765611</v>
      </c>
      <c r="H51" s="12">
        <f t="shared" si="1"/>
        <v>1.9904166582778871</v>
      </c>
      <c r="I51" s="12">
        <f t="shared" si="2"/>
        <v>72.250763524828017</v>
      </c>
      <c r="J51">
        <f t="shared" si="3"/>
        <v>14243</v>
      </c>
      <c r="M51" s="5" t="s">
        <v>19</v>
      </c>
      <c r="N51" s="7">
        <v>1765611</v>
      </c>
    </row>
    <row r="52" spans="1:14" x14ac:dyDescent="0.3">
      <c r="A52" s="5" t="s">
        <v>19</v>
      </c>
      <c r="B52" s="6" t="s">
        <v>8</v>
      </c>
      <c r="C52" s="6">
        <v>6878865</v>
      </c>
      <c r="D52" s="6">
        <v>91819</v>
      </c>
      <c r="E52" s="6">
        <v>5594335</v>
      </c>
      <c r="F52" s="6"/>
      <c r="G52" s="7">
        <f t="shared" si="0"/>
        <v>1192711</v>
      </c>
      <c r="H52" s="12">
        <f t="shared" si="1"/>
        <v>1.334798691353879</v>
      </c>
      <c r="I52" s="12">
        <f t="shared" si="2"/>
        <v>81.326425216950753</v>
      </c>
      <c r="J52">
        <f t="shared" si="3"/>
        <v>24471</v>
      </c>
      <c r="M52" s="5" t="s">
        <v>19</v>
      </c>
      <c r="N52" s="7">
        <v>1192711</v>
      </c>
    </row>
    <row r="53" spans="1:14" x14ac:dyDescent="0.3">
      <c r="A53" s="5" t="s">
        <v>19</v>
      </c>
      <c r="B53" s="6" t="s">
        <v>8</v>
      </c>
      <c r="C53" s="6">
        <v>6914747</v>
      </c>
      <c r="D53" s="6">
        <v>109172</v>
      </c>
      <c r="E53" s="6">
        <v>5484129</v>
      </c>
      <c r="F53" s="6"/>
      <c r="G53" s="7">
        <f t="shared" si="0"/>
        <v>1321446</v>
      </c>
      <c r="H53" s="12">
        <f t="shared" si="1"/>
        <v>1.5788285529463333</v>
      </c>
      <c r="I53" s="12">
        <f t="shared" si="2"/>
        <v>79.310624090801866</v>
      </c>
      <c r="J53">
        <f t="shared" si="3"/>
        <v>35882</v>
      </c>
      <c r="M53" s="5" t="s">
        <v>19</v>
      </c>
      <c r="N53" s="7">
        <v>1321446</v>
      </c>
    </row>
    <row r="54" spans="1:14" x14ac:dyDescent="0.3">
      <c r="A54" s="5" t="s">
        <v>19</v>
      </c>
      <c r="B54" s="6" t="s">
        <v>8</v>
      </c>
      <c r="C54" s="6">
        <v>6926792</v>
      </c>
      <c r="D54" s="6">
        <v>71235</v>
      </c>
      <c r="E54" s="6">
        <v>6068076</v>
      </c>
      <c r="F54" s="6"/>
      <c r="G54" s="7">
        <f t="shared" si="0"/>
        <v>787481</v>
      </c>
      <c r="H54" s="12">
        <f t="shared" si="1"/>
        <v>1.0283981387054786</v>
      </c>
      <c r="I54" s="12">
        <f t="shared" si="2"/>
        <v>87.602976962495774</v>
      </c>
      <c r="J54">
        <f t="shared" si="3"/>
        <v>12045</v>
      </c>
      <c r="M54" s="5" t="s">
        <v>19</v>
      </c>
      <c r="N54" s="7">
        <v>787481</v>
      </c>
    </row>
    <row r="55" spans="1:14" x14ac:dyDescent="0.3">
      <c r="A55" s="5" t="s">
        <v>19</v>
      </c>
      <c r="B55" s="6" t="s">
        <v>8</v>
      </c>
      <c r="C55" s="6">
        <v>6943953</v>
      </c>
      <c r="D55" s="6">
        <v>180288</v>
      </c>
      <c r="E55" s="6">
        <v>5097458</v>
      </c>
      <c r="F55" s="6"/>
      <c r="G55" s="7">
        <f t="shared" si="0"/>
        <v>1666207</v>
      </c>
      <c r="H55" s="12">
        <f t="shared" si="1"/>
        <v>2.5963309371477599</v>
      </c>
      <c r="I55" s="12">
        <f t="shared" si="2"/>
        <v>73.408590179109794</v>
      </c>
      <c r="J55">
        <f t="shared" si="3"/>
        <v>17161</v>
      </c>
      <c r="M55" s="5" t="s">
        <v>19</v>
      </c>
      <c r="N55" s="7">
        <v>1666207</v>
      </c>
    </row>
    <row r="56" spans="1:14" x14ac:dyDescent="0.3">
      <c r="A56" s="5" t="s">
        <v>19</v>
      </c>
      <c r="B56" s="6" t="s">
        <v>8</v>
      </c>
      <c r="C56" s="6">
        <v>6962845</v>
      </c>
      <c r="D56" s="6">
        <v>158579</v>
      </c>
      <c r="E56" s="6">
        <v>5316198</v>
      </c>
      <c r="F56" s="6"/>
      <c r="G56" s="7">
        <f t="shared" si="0"/>
        <v>1488068</v>
      </c>
      <c r="H56" s="12">
        <f t="shared" si="1"/>
        <v>2.2775029459940583</v>
      </c>
      <c r="I56" s="12">
        <f t="shared" si="2"/>
        <v>76.350945626392658</v>
      </c>
      <c r="J56">
        <f t="shared" si="3"/>
        <v>18892</v>
      </c>
      <c r="M56" s="5" t="s">
        <v>19</v>
      </c>
      <c r="N56" s="7">
        <v>1488068</v>
      </c>
    </row>
    <row r="57" spans="1:14" x14ac:dyDescent="0.3">
      <c r="A57" s="5" t="s">
        <v>19</v>
      </c>
      <c r="B57" s="6" t="s">
        <v>8</v>
      </c>
      <c r="C57" s="6">
        <v>6992854</v>
      </c>
      <c r="D57" s="6">
        <v>121320</v>
      </c>
      <c r="E57" s="6">
        <v>5400962</v>
      </c>
      <c r="F57" s="6"/>
      <c r="G57" s="7">
        <f t="shared" si="0"/>
        <v>1470572</v>
      </c>
      <c r="H57" s="12">
        <f t="shared" si="1"/>
        <v>1.7349139564475393</v>
      </c>
      <c r="I57" s="12">
        <f t="shared" si="2"/>
        <v>77.235446357095412</v>
      </c>
      <c r="J57">
        <f t="shared" si="3"/>
        <v>30009</v>
      </c>
      <c r="M57" s="5" t="s">
        <v>19</v>
      </c>
      <c r="N57" s="7">
        <v>1470572</v>
      </c>
    </row>
    <row r="58" spans="1:14" x14ac:dyDescent="0.3">
      <c r="A58" s="5" t="s">
        <v>20</v>
      </c>
      <c r="B58" s="6" t="s">
        <v>8</v>
      </c>
      <c r="C58" s="6">
        <v>7023445</v>
      </c>
      <c r="D58" s="6">
        <v>109406</v>
      </c>
      <c r="E58" s="6">
        <v>6040725</v>
      </c>
      <c r="F58" s="6"/>
      <c r="G58" s="7">
        <f t="shared" si="0"/>
        <v>873314</v>
      </c>
      <c r="H58" s="12">
        <f t="shared" si="1"/>
        <v>1.5577255890805723</v>
      </c>
      <c r="I58" s="12">
        <f t="shared" si="2"/>
        <v>86.008006042618689</v>
      </c>
      <c r="J58">
        <f t="shared" si="3"/>
        <v>30591</v>
      </c>
      <c r="M58" s="5" t="s">
        <v>20</v>
      </c>
      <c r="N58" s="7">
        <v>873314</v>
      </c>
    </row>
    <row r="59" spans="1:14" x14ac:dyDescent="0.3">
      <c r="A59" s="5" t="s">
        <v>20</v>
      </c>
      <c r="B59" s="6" t="s">
        <v>8</v>
      </c>
      <c r="C59" s="6">
        <v>7065236</v>
      </c>
      <c r="D59" s="6">
        <v>179922</v>
      </c>
      <c r="E59" s="6">
        <v>6243220</v>
      </c>
      <c r="F59" s="6"/>
      <c r="G59" s="7">
        <f t="shared" si="0"/>
        <v>642094</v>
      </c>
      <c r="H59" s="12">
        <f t="shared" si="1"/>
        <v>2.5465816003881541</v>
      </c>
      <c r="I59" s="12">
        <f t="shared" si="2"/>
        <v>88.36534264389752</v>
      </c>
      <c r="J59">
        <f t="shared" si="3"/>
        <v>41791</v>
      </c>
      <c r="M59" s="5" t="s">
        <v>20</v>
      </c>
      <c r="N59" s="7">
        <v>642094</v>
      </c>
    </row>
    <row r="60" spans="1:14" x14ac:dyDescent="0.3">
      <c r="A60" s="5" t="s">
        <v>20</v>
      </c>
      <c r="B60" s="6" t="s">
        <v>8</v>
      </c>
      <c r="C60" s="6">
        <v>7090420</v>
      </c>
      <c r="D60" s="6">
        <v>72617</v>
      </c>
      <c r="E60" s="6">
        <v>5965695</v>
      </c>
      <c r="F60" s="6"/>
      <c r="G60" s="7">
        <f t="shared" si="0"/>
        <v>1052108</v>
      </c>
      <c r="H60" s="12">
        <f t="shared" si="1"/>
        <v>1.0241565379765938</v>
      </c>
      <c r="I60" s="12">
        <f t="shared" si="2"/>
        <v>84.137399477040859</v>
      </c>
      <c r="J60">
        <f t="shared" si="3"/>
        <v>25184</v>
      </c>
      <c r="M60" s="5" t="s">
        <v>20</v>
      </c>
      <c r="N60" s="7">
        <v>1052108</v>
      </c>
    </row>
    <row r="61" spans="1:14" x14ac:dyDescent="0.3">
      <c r="A61" s="5" t="s">
        <v>20</v>
      </c>
      <c r="B61" s="6" t="s">
        <v>8</v>
      </c>
      <c r="C61" s="6">
        <v>7128443</v>
      </c>
      <c r="D61" s="6">
        <v>106021</v>
      </c>
      <c r="E61" s="6">
        <v>6213747</v>
      </c>
      <c r="F61" s="6"/>
      <c r="G61" s="7">
        <f t="shared" si="0"/>
        <v>808675</v>
      </c>
      <c r="H61" s="12">
        <f t="shared" si="1"/>
        <v>1.4872953322345426</v>
      </c>
      <c r="I61" s="12">
        <f t="shared" si="2"/>
        <v>87.168362011171311</v>
      </c>
      <c r="J61">
        <f t="shared" si="3"/>
        <v>38023</v>
      </c>
      <c r="M61" s="5" t="s">
        <v>20</v>
      </c>
      <c r="N61" s="7">
        <v>808675</v>
      </c>
    </row>
    <row r="62" spans="1:14" x14ac:dyDescent="0.3">
      <c r="A62" s="5" t="s">
        <v>20</v>
      </c>
      <c r="B62" s="6" t="s">
        <v>8</v>
      </c>
      <c r="C62" s="6">
        <v>7157522</v>
      </c>
      <c r="D62" s="6">
        <v>155062</v>
      </c>
      <c r="E62" s="6">
        <v>5263181</v>
      </c>
      <c r="F62" s="6"/>
      <c r="G62" s="7">
        <f t="shared" si="0"/>
        <v>1739279</v>
      </c>
      <c r="H62" s="12">
        <f t="shared" si="1"/>
        <v>2.1664201660854134</v>
      </c>
      <c r="I62" s="12">
        <f t="shared" si="2"/>
        <v>73.533563711016185</v>
      </c>
      <c r="J62">
        <f t="shared" si="3"/>
        <v>29079</v>
      </c>
      <c r="M62" s="5" t="s">
        <v>20</v>
      </c>
      <c r="N62" s="7">
        <v>1739279</v>
      </c>
    </row>
    <row r="63" spans="1:14" x14ac:dyDescent="0.3">
      <c r="A63" s="5" t="s">
        <v>20</v>
      </c>
      <c r="B63" s="6" t="s">
        <v>8</v>
      </c>
      <c r="C63" s="6">
        <v>7170296</v>
      </c>
      <c r="D63" s="6">
        <v>128159</v>
      </c>
      <c r="E63" s="6">
        <v>6198539</v>
      </c>
      <c r="F63" s="6"/>
      <c r="G63" s="7">
        <f t="shared" si="0"/>
        <v>843598</v>
      </c>
      <c r="H63" s="12">
        <f t="shared" si="1"/>
        <v>1.7873599639401221</v>
      </c>
      <c r="I63" s="12">
        <f t="shared" si="2"/>
        <v>86.447463256747</v>
      </c>
      <c r="J63">
        <f t="shared" si="3"/>
        <v>12774</v>
      </c>
      <c r="M63" s="5" t="s">
        <v>20</v>
      </c>
      <c r="N63" s="7">
        <v>843598</v>
      </c>
    </row>
    <row r="64" spans="1:14" x14ac:dyDescent="0.3">
      <c r="A64" s="5" t="s">
        <v>20</v>
      </c>
      <c r="B64" s="6" t="s">
        <v>8</v>
      </c>
      <c r="C64" s="6">
        <v>7219860</v>
      </c>
      <c r="D64" s="6">
        <v>129009</v>
      </c>
      <c r="E64" s="6">
        <v>6469036</v>
      </c>
      <c r="F64" s="6"/>
      <c r="G64" s="7">
        <f t="shared" si="0"/>
        <v>621815</v>
      </c>
      <c r="H64" s="12">
        <f t="shared" si="1"/>
        <v>1.7868629031587873</v>
      </c>
      <c r="I64" s="12">
        <f t="shared" si="2"/>
        <v>89.600573972348499</v>
      </c>
      <c r="J64">
        <f t="shared" si="3"/>
        <v>49564</v>
      </c>
      <c r="M64" s="5" t="s">
        <v>20</v>
      </c>
      <c r="N64" s="7">
        <v>621815</v>
      </c>
    </row>
    <row r="65" spans="1:14" x14ac:dyDescent="0.3">
      <c r="A65" s="5" t="s">
        <v>20</v>
      </c>
      <c r="B65" s="6" t="s">
        <v>8</v>
      </c>
      <c r="C65" s="6">
        <v>7261438</v>
      </c>
      <c r="D65" s="6">
        <v>158093</v>
      </c>
      <c r="E65" s="6">
        <v>5752856</v>
      </c>
      <c r="F65" s="6"/>
      <c r="G65" s="7">
        <f t="shared" si="0"/>
        <v>1350489</v>
      </c>
      <c r="H65" s="12">
        <f t="shared" si="1"/>
        <v>2.1771582983976452</v>
      </c>
      <c r="I65" s="12">
        <f t="shared" si="2"/>
        <v>79.224748596627819</v>
      </c>
      <c r="J65">
        <f t="shared" si="3"/>
        <v>41578</v>
      </c>
      <c r="M65" s="5" t="s">
        <v>20</v>
      </c>
      <c r="N65" s="7">
        <v>1350489</v>
      </c>
    </row>
    <row r="66" spans="1:14" x14ac:dyDescent="0.3">
      <c r="A66" s="5" t="s">
        <v>21</v>
      </c>
      <c r="B66" s="6" t="s">
        <v>8</v>
      </c>
      <c r="C66" s="6">
        <v>7292324</v>
      </c>
      <c r="D66" s="6">
        <v>101165</v>
      </c>
      <c r="E66" s="6">
        <v>5371452</v>
      </c>
      <c r="F66" s="6"/>
      <c r="G66" s="7">
        <f t="shared" si="0"/>
        <v>1819707</v>
      </c>
      <c r="H66" s="12">
        <f t="shared" si="1"/>
        <v>1.3872806529166832</v>
      </c>
      <c r="I66" s="12">
        <f t="shared" si="2"/>
        <v>73.658987176104631</v>
      </c>
      <c r="J66">
        <f t="shared" si="3"/>
        <v>30886</v>
      </c>
      <c r="M66" s="5" t="s">
        <v>21</v>
      </c>
      <c r="N66" s="7">
        <v>1819707</v>
      </c>
    </row>
    <row r="67" spans="1:14" x14ac:dyDescent="0.3">
      <c r="A67" s="5" t="s">
        <v>21</v>
      </c>
      <c r="B67" s="6" t="s">
        <v>8</v>
      </c>
      <c r="C67" s="6">
        <v>7307772</v>
      </c>
      <c r="D67" s="6">
        <v>173521</v>
      </c>
      <c r="E67" s="6">
        <v>5679705</v>
      </c>
      <c r="F67" s="6"/>
      <c r="G67" s="7">
        <f t="shared" ref="G67:G130" si="4" xml:space="preserve"> C67-D67-E67</f>
        <v>1454546</v>
      </c>
      <c r="H67" s="12">
        <f t="shared" ref="H67:H130" si="5">D67/C67*100</f>
        <v>2.3744720004948157</v>
      </c>
      <c r="I67" s="12">
        <f t="shared" ref="I67:I130" si="6">E67/C67*100</f>
        <v>77.72143137470627</v>
      </c>
      <c r="J67">
        <f t="shared" ref="J67:J130" si="7">IF(B67=B66,C67-C66,"")</f>
        <v>15448</v>
      </c>
      <c r="M67" s="5" t="s">
        <v>21</v>
      </c>
      <c r="N67" s="7">
        <v>1454546</v>
      </c>
    </row>
    <row r="68" spans="1:14" x14ac:dyDescent="0.3">
      <c r="A68" s="5" t="s">
        <v>21</v>
      </c>
      <c r="B68" s="6" t="s">
        <v>8</v>
      </c>
      <c r="C68" s="6">
        <v>7357233</v>
      </c>
      <c r="D68" s="6">
        <v>103361</v>
      </c>
      <c r="E68" s="6">
        <v>6442793</v>
      </c>
      <c r="F68" s="6"/>
      <c r="G68" s="7">
        <f t="shared" si="4"/>
        <v>811079</v>
      </c>
      <c r="H68" s="12">
        <f t="shared" si="5"/>
        <v>1.4048895828091892</v>
      </c>
      <c r="I68" s="12">
        <f t="shared" si="6"/>
        <v>87.570870733603243</v>
      </c>
      <c r="J68">
        <f t="shared" si="7"/>
        <v>49461</v>
      </c>
      <c r="M68" s="5" t="s">
        <v>21</v>
      </c>
      <c r="N68" s="7">
        <v>811079</v>
      </c>
    </row>
    <row r="69" spans="1:14" x14ac:dyDescent="0.3">
      <c r="A69" s="5" t="s">
        <v>21</v>
      </c>
      <c r="B69" s="6" t="s">
        <v>8</v>
      </c>
      <c r="C69" s="6">
        <v>7405955</v>
      </c>
      <c r="D69" s="6">
        <v>207266</v>
      </c>
      <c r="E69" s="6">
        <v>6159036</v>
      </c>
      <c r="F69" s="6"/>
      <c r="G69" s="7">
        <f t="shared" si="4"/>
        <v>1039653</v>
      </c>
      <c r="H69" s="12">
        <f t="shared" si="5"/>
        <v>2.7986397432876653</v>
      </c>
      <c r="I69" s="12">
        <f t="shared" si="6"/>
        <v>83.163292242526452</v>
      </c>
      <c r="J69">
        <f t="shared" si="7"/>
        <v>48722</v>
      </c>
      <c r="M69" s="5" t="s">
        <v>21</v>
      </c>
      <c r="N69" s="7">
        <v>1039653</v>
      </c>
    </row>
    <row r="70" spans="1:14" x14ac:dyDescent="0.3">
      <c r="A70" s="5" t="s">
        <v>21</v>
      </c>
      <c r="B70" s="6" t="s">
        <v>8</v>
      </c>
      <c r="C70" s="6">
        <v>7424477</v>
      </c>
      <c r="D70" s="6">
        <v>113472</v>
      </c>
      <c r="E70" s="6">
        <v>6063915</v>
      </c>
      <c r="F70" s="6"/>
      <c r="G70" s="7">
        <f t="shared" si="4"/>
        <v>1247090</v>
      </c>
      <c r="H70" s="12">
        <f t="shared" si="5"/>
        <v>1.5283500777226464</v>
      </c>
      <c r="I70" s="12">
        <f t="shared" si="6"/>
        <v>81.674641863662586</v>
      </c>
      <c r="J70">
        <f t="shared" si="7"/>
        <v>18522</v>
      </c>
      <c r="M70" s="5" t="s">
        <v>21</v>
      </c>
      <c r="N70" s="7">
        <v>1247090</v>
      </c>
    </row>
    <row r="71" spans="1:14" x14ac:dyDescent="0.3">
      <c r="A71" s="5" t="s">
        <v>21</v>
      </c>
      <c r="B71" s="6" t="s">
        <v>8</v>
      </c>
      <c r="C71" s="6">
        <v>7461701</v>
      </c>
      <c r="D71" s="6">
        <v>100997</v>
      </c>
      <c r="E71" s="6">
        <v>5960065</v>
      </c>
      <c r="F71" s="6"/>
      <c r="G71" s="7">
        <f t="shared" si="4"/>
        <v>1400639</v>
      </c>
      <c r="H71" s="12">
        <f t="shared" si="5"/>
        <v>1.3535385564229925</v>
      </c>
      <c r="I71" s="12">
        <f t="shared" si="6"/>
        <v>79.875419827194889</v>
      </c>
      <c r="J71">
        <f t="shared" si="7"/>
        <v>37224</v>
      </c>
      <c r="M71" s="5" t="s">
        <v>21</v>
      </c>
      <c r="N71" s="7">
        <v>1400639</v>
      </c>
    </row>
    <row r="72" spans="1:14" x14ac:dyDescent="0.3">
      <c r="A72" s="5" t="s">
        <v>21</v>
      </c>
      <c r="B72" s="6" t="s">
        <v>8</v>
      </c>
      <c r="C72" s="6">
        <v>7476445</v>
      </c>
      <c r="D72" s="6">
        <v>86858</v>
      </c>
      <c r="E72" s="6">
        <v>5412497</v>
      </c>
      <c r="F72" s="6"/>
      <c r="G72" s="7">
        <f t="shared" si="4"/>
        <v>1977090</v>
      </c>
      <c r="H72" s="12">
        <f t="shared" si="5"/>
        <v>1.161755352978588</v>
      </c>
      <c r="I72" s="12">
        <f t="shared" si="6"/>
        <v>72.393992064410298</v>
      </c>
      <c r="J72">
        <f t="shared" si="7"/>
        <v>14744</v>
      </c>
      <c r="M72" s="5" t="s">
        <v>21</v>
      </c>
      <c r="N72" s="7">
        <v>1977090</v>
      </c>
    </row>
    <row r="73" spans="1:14" x14ac:dyDescent="0.3">
      <c r="A73" s="5" t="s">
        <v>21</v>
      </c>
      <c r="B73" s="6" t="s">
        <v>8</v>
      </c>
      <c r="C73" s="6">
        <v>7499421</v>
      </c>
      <c r="D73" s="6">
        <v>211099</v>
      </c>
      <c r="E73" s="6">
        <v>6429575</v>
      </c>
      <c r="F73" s="6"/>
      <c r="G73" s="7">
        <f t="shared" si="4"/>
        <v>858747</v>
      </c>
      <c r="H73" s="12">
        <f t="shared" si="5"/>
        <v>2.8148706413468454</v>
      </c>
      <c r="I73" s="12">
        <f t="shared" si="6"/>
        <v>85.734285353495949</v>
      </c>
      <c r="J73">
        <f t="shared" si="7"/>
        <v>22976</v>
      </c>
      <c r="M73" s="5" t="s">
        <v>21</v>
      </c>
      <c r="N73" s="7">
        <v>858747</v>
      </c>
    </row>
    <row r="74" spans="1:14" x14ac:dyDescent="0.3">
      <c r="A74" s="5" t="s">
        <v>22</v>
      </c>
      <c r="B74" s="6" t="s">
        <v>8</v>
      </c>
      <c r="C74" s="6">
        <v>7509830</v>
      </c>
      <c r="D74" s="6">
        <v>120353</v>
      </c>
      <c r="E74" s="6">
        <v>6181316</v>
      </c>
      <c r="F74" s="6"/>
      <c r="G74" s="7">
        <f t="shared" si="4"/>
        <v>1208161</v>
      </c>
      <c r="H74" s="12">
        <f t="shared" si="5"/>
        <v>1.6026061841612926</v>
      </c>
      <c r="I74" s="12">
        <f t="shared" si="6"/>
        <v>82.309666130924398</v>
      </c>
      <c r="J74">
        <f t="shared" si="7"/>
        <v>10409</v>
      </c>
      <c r="M74" s="5" t="s">
        <v>22</v>
      </c>
      <c r="N74" s="7">
        <v>1208161</v>
      </c>
    </row>
    <row r="75" spans="1:14" x14ac:dyDescent="0.3">
      <c r="A75" s="5" t="s">
        <v>22</v>
      </c>
      <c r="B75" s="6" t="s">
        <v>8</v>
      </c>
      <c r="C75" s="6">
        <v>7512161</v>
      </c>
      <c r="D75" s="6">
        <v>110267</v>
      </c>
      <c r="E75" s="6">
        <v>6333950</v>
      </c>
      <c r="F75" s="6"/>
      <c r="G75" s="7">
        <f t="shared" si="4"/>
        <v>1067944</v>
      </c>
      <c r="H75" s="12">
        <f t="shared" si="5"/>
        <v>1.4678466023292098</v>
      </c>
      <c r="I75" s="12">
        <f t="shared" si="6"/>
        <v>84.315951162388558</v>
      </c>
      <c r="J75">
        <f t="shared" si="7"/>
        <v>2331</v>
      </c>
      <c r="M75" s="5" t="s">
        <v>22</v>
      </c>
      <c r="N75" s="7">
        <v>1067944</v>
      </c>
    </row>
    <row r="76" spans="1:14" x14ac:dyDescent="0.3">
      <c r="A76" s="5" t="s">
        <v>22</v>
      </c>
      <c r="B76" s="6" t="s">
        <v>8</v>
      </c>
      <c r="C76" s="6">
        <v>7546547</v>
      </c>
      <c r="D76" s="6">
        <v>155662</v>
      </c>
      <c r="E76" s="6">
        <v>6105382</v>
      </c>
      <c r="F76" s="6"/>
      <c r="G76" s="7">
        <f t="shared" si="4"/>
        <v>1285503</v>
      </c>
      <c r="H76" s="12">
        <f t="shared" si="5"/>
        <v>2.0626917184773381</v>
      </c>
      <c r="I76" s="12">
        <f t="shared" si="6"/>
        <v>80.902987816812114</v>
      </c>
      <c r="J76">
        <f t="shared" si="7"/>
        <v>34386</v>
      </c>
      <c r="M76" s="5" t="s">
        <v>22</v>
      </c>
      <c r="N76" s="7">
        <v>1285503</v>
      </c>
    </row>
    <row r="77" spans="1:14" x14ac:dyDescent="0.3">
      <c r="A77" s="5" t="s">
        <v>22</v>
      </c>
      <c r="B77" s="6" t="s">
        <v>8</v>
      </c>
      <c r="C77" s="6">
        <v>7566249</v>
      </c>
      <c r="D77" s="6">
        <v>170322</v>
      </c>
      <c r="E77" s="6">
        <v>6751170</v>
      </c>
      <c r="F77" s="6"/>
      <c r="G77" s="7">
        <f t="shared" si="4"/>
        <v>644757</v>
      </c>
      <c r="H77" s="12">
        <f t="shared" si="5"/>
        <v>2.2510757972675761</v>
      </c>
      <c r="I77" s="12">
        <f t="shared" si="6"/>
        <v>89.227436210465711</v>
      </c>
      <c r="J77">
        <f t="shared" si="7"/>
        <v>19702</v>
      </c>
      <c r="M77" s="5" t="s">
        <v>22</v>
      </c>
      <c r="N77" s="7">
        <v>644757</v>
      </c>
    </row>
    <row r="78" spans="1:14" x14ac:dyDescent="0.3">
      <c r="A78" s="5" t="s">
        <v>22</v>
      </c>
      <c r="B78" s="6" t="s">
        <v>8</v>
      </c>
      <c r="C78" s="6">
        <v>7593964</v>
      </c>
      <c r="D78" s="6">
        <v>102104</v>
      </c>
      <c r="E78" s="6">
        <v>5322722</v>
      </c>
      <c r="F78" s="6"/>
      <c r="G78" s="7">
        <f t="shared" si="4"/>
        <v>2169138</v>
      </c>
      <c r="H78" s="12">
        <f t="shared" si="5"/>
        <v>1.3445415332493016</v>
      </c>
      <c r="I78" s="12">
        <f t="shared" si="6"/>
        <v>70.091483183222891</v>
      </c>
      <c r="J78">
        <f t="shared" si="7"/>
        <v>27715</v>
      </c>
      <c r="M78" s="5" t="s">
        <v>22</v>
      </c>
      <c r="N78" s="7">
        <v>2169138</v>
      </c>
    </row>
    <row r="79" spans="1:14" x14ac:dyDescent="0.3">
      <c r="A79" s="5" t="s">
        <v>22</v>
      </c>
      <c r="B79" s="6" t="s">
        <v>8</v>
      </c>
      <c r="C79" s="6">
        <v>7629718</v>
      </c>
      <c r="D79" s="6">
        <v>100863</v>
      </c>
      <c r="E79" s="6">
        <v>5342632</v>
      </c>
      <c r="F79" s="6"/>
      <c r="G79" s="7">
        <f t="shared" si="4"/>
        <v>2186223</v>
      </c>
      <c r="H79" s="12">
        <f t="shared" si="5"/>
        <v>1.3219754648861204</v>
      </c>
      <c r="I79" s="12">
        <f t="shared" si="6"/>
        <v>70.023977295097922</v>
      </c>
      <c r="J79">
        <f t="shared" si="7"/>
        <v>35754</v>
      </c>
      <c r="M79" s="5" t="s">
        <v>22</v>
      </c>
      <c r="N79" s="7">
        <v>2186223</v>
      </c>
    </row>
    <row r="80" spans="1:14" x14ac:dyDescent="0.3">
      <c r="A80" s="5" t="s">
        <v>22</v>
      </c>
      <c r="B80" s="6" t="s">
        <v>8</v>
      </c>
      <c r="C80" s="6">
        <v>7652966</v>
      </c>
      <c r="D80" s="6">
        <v>152321</v>
      </c>
      <c r="E80" s="6">
        <v>6526870</v>
      </c>
      <c r="F80" s="6"/>
      <c r="G80" s="7">
        <f t="shared" si="4"/>
        <v>973775</v>
      </c>
      <c r="H80" s="12">
        <f t="shared" si="5"/>
        <v>1.9903524986260228</v>
      </c>
      <c r="I80" s="12">
        <f t="shared" si="6"/>
        <v>85.285495845662979</v>
      </c>
      <c r="J80">
        <f t="shared" si="7"/>
        <v>23248</v>
      </c>
      <c r="M80" s="5" t="s">
        <v>22</v>
      </c>
      <c r="N80" s="7">
        <v>973775</v>
      </c>
    </row>
    <row r="81" spans="1:14" x14ac:dyDescent="0.3">
      <c r="A81" s="5" t="s">
        <v>22</v>
      </c>
      <c r="B81" s="6" t="s">
        <v>8</v>
      </c>
      <c r="C81" s="6">
        <v>7688424</v>
      </c>
      <c r="D81" s="6">
        <v>176247</v>
      </c>
      <c r="E81" s="6">
        <v>6290458</v>
      </c>
      <c r="F81" s="6"/>
      <c r="G81" s="7">
        <f t="shared" si="4"/>
        <v>1221719</v>
      </c>
      <c r="H81" s="12">
        <f t="shared" si="5"/>
        <v>2.2923683709431217</v>
      </c>
      <c r="I81" s="12">
        <f t="shared" si="6"/>
        <v>81.81726189918767</v>
      </c>
      <c r="J81">
        <f t="shared" si="7"/>
        <v>35458</v>
      </c>
      <c r="M81" s="5" t="s">
        <v>22</v>
      </c>
      <c r="N81" s="7">
        <v>1221719</v>
      </c>
    </row>
    <row r="82" spans="1:14" x14ac:dyDescent="0.3">
      <c r="A82" s="5" t="s">
        <v>23</v>
      </c>
      <c r="B82" s="6" t="s">
        <v>8</v>
      </c>
      <c r="C82" s="6">
        <v>7731299</v>
      </c>
      <c r="D82" s="6">
        <v>155579</v>
      </c>
      <c r="E82" s="6">
        <v>6210684</v>
      </c>
      <c r="F82" s="6"/>
      <c r="G82" s="7">
        <f t="shared" si="4"/>
        <v>1365036</v>
      </c>
      <c r="H82" s="12">
        <f t="shared" si="5"/>
        <v>2.0123267771690116</v>
      </c>
      <c r="I82" s="12">
        <f t="shared" si="6"/>
        <v>80.331701050496179</v>
      </c>
      <c r="J82">
        <f t="shared" si="7"/>
        <v>42875</v>
      </c>
      <c r="M82" s="5" t="s">
        <v>23</v>
      </c>
      <c r="N82" s="7">
        <v>1365036</v>
      </c>
    </row>
    <row r="83" spans="1:14" x14ac:dyDescent="0.3">
      <c r="A83" s="5" t="s">
        <v>23</v>
      </c>
      <c r="B83" s="6" t="s">
        <v>8</v>
      </c>
      <c r="C83" s="6">
        <v>7753984</v>
      </c>
      <c r="D83" s="6">
        <v>225832</v>
      </c>
      <c r="E83" s="6">
        <v>6771931</v>
      </c>
      <c r="F83" s="6"/>
      <c r="G83" s="7">
        <f t="shared" si="4"/>
        <v>756221</v>
      </c>
      <c r="H83" s="12">
        <f t="shared" si="5"/>
        <v>2.9124640958763908</v>
      </c>
      <c r="I83" s="12">
        <f t="shared" si="6"/>
        <v>87.334859086632108</v>
      </c>
      <c r="J83">
        <f t="shared" si="7"/>
        <v>22685</v>
      </c>
      <c r="M83" s="5" t="s">
        <v>23</v>
      </c>
      <c r="N83" s="7">
        <v>756221</v>
      </c>
    </row>
    <row r="84" spans="1:14" x14ac:dyDescent="0.3">
      <c r="A84" s="5" t="s">
        <v>23</v>
      </c>
      <c r="B84" s="6" t="s">
        <v>8</v>
      </c>
      <c r="C84" s="6">
        <v>7780407</v>
      </c>
      <c r="D84" s="6">
        <v>121859</v>
      </c>
      <c r="E84" s="6">
        <v>6874772</v>
      </c>
      <c r="F84" s="6"/>
      <c r="G84" s="7">
        <f t="shared" si="4"/>
        <v>783776</v>
      </c>
      <c r="H84" s="12">
        <f t="shared" si="5"/>
        <v>1.5662291188622908</v>
      </c>
      <c r="I84" s="12">
        <f t="shared" si="6"/>
        <v>88.360056228420959</v>
      </c>
      <c r="J84">
        <f t="shared" si="7"/>
        <v>26423</v>
      </c>
      <c r="M84" s="5" t="s">
        <v>23</v>
      </c>
      <c r="N84" s="7">
        <v>783776</v>
      </c>
    </row>
    <row r="85" spans="1:14" x14ac:dyDescent="0.3">
      <c r="A85" s="5" t="s">
        <v>23</v>
      </c>
      <c r="B85" s="6" t="s">
        <v>8</v>
      </c>
      <c r="C85" s="6">
        <v>7827708</v>
      </c>
      <c r="D85" s="6">
        <v>165604</v>
      </c>
      <c r="E85" s="6">
        <v>6028919</v>
      </c>
      <c r="F85" s="6"/>
      <c r="G85" s="7">
        <f t="shared" si="4"/>
        <v>1633185</v>
      </c>
      <c r="H85" s="12">
        <f t="shared" si="5"/>
        <v>2.1156128971596795</v>
      </c>
      <c r="I85" s="12">
        <f t="shared" si="6"/>
        <v>77.020233764468472</v>
      </c>
      <c r="J85">
        <f t="shared" si="7"/>
        <v>47301</v>
      </c>
      <c r="M85" s="5" t="s">
        <v>23</v>
      </c>
      <c r="N85" s="7">
        <v>1633185</v>
      </c>
    </row>
    <row r="86" spans="1:14" x14ac:dyDescent="0.3">
      <c r="A86" s="5" t="s">
        <v>23</v>
      </c>
      <c r="B86" s="6" t="s">
        <v>8</v>
      </c>
      <c r="C86" s="6">
        <v>7829125</v>
      </c>
      <c r="D86" s="6">
        <v>126304</v>
      </c>
      <c r="E86" s="6">
        <v>6238824</v>
      </c>
      <c r="F86" s="6"/>
      <c r="G86" s="7">
        <f t="shared" si="4"/>
        <v>1463997</v>
      </c>
      <c r="H86" s="12">
        <f t="shared" si="5"/>
        <v>1.6132581865789599</v>
      </c>
      <c r="I86" s="12">
        <f t="shared" si="6"/>
        <v>79.687372471380897</v>
      </c>
      <c r="J86">
        <f t="shared" si="7"/>
        <v>1417</v>
      </c>
      <c r="M86" s="5" t="s">
        <v>23</v>
      </c>
      <c r="N86" s="7">
        <v>1463997</v>
      </c>
    </row>
    <row r="87" spans="1:14" x14ac:dyDescent="0.3">
      <c r="A87" s="5" t="s">
        <v>23</v>
      </c>
      <c r="B87" s="6" t="s">
        <v>8</v>
      </c>
      <c r="C87" s="6">
        <v>7845933</v>
      </c>
      <c r="D87" s="6">
        <v>182688</v>
      </c>
      <c r="E87" s="6">
        <v>5712279</v>
      </c>
      <c r="F87" s="6"/>
      <c r="G87" s="7">
        <f t="shared" si="4"/>
        <v>1950966</v>
      </c>
      <c r="H87" s="12">
        <f t="shared" si="5"/>
        <v>2.3284420093824405</v>
      </c>
      <c r="I87" s="12">
        <f t="shared" si="6"/>
        <v>72.805605146003671</v>
      </c>
      <c r="J87">
        <f t="shared" si="7"/>
        <v>16808</v>
      </c>
      <c r="M87" s="5" t="s">
        <v>23</v>
      </c>
      <c r="N87" s="7">
        <v>1950966</v>
      </c>
    </row>
    <row r="88" spans="1:14" x14ac:dyDescent="0.3">
      <c r="A88" s="5" t="s">
        <v>23</v>
      </c>
      <c r="B88" s="6" t="s">
        <v>8</v>
      </c>
      <c r="C88" s="6">
        <v>7854642</v>
      </c>
      <c r="D88" s="6">
        <v>204570</v>
      </c>
      <c r="E88" s="6">
        <v>6976950</v>
      </c>
      <c r="F88" s="6"/>
      <c r="G88" s="7">
        <f t="shared" si="4"/>
        <v>673122</v>
      </c>
      <c r="H88" s="12">
        <f t="shared" si="5"/>
        <v>2.604447153670403</v>
      </c>
      <c r="I88" s="12">
        <f t="shared" si="6"/>
        <v>88.825817904877141</v>
      </c>
      <c r="J88">
        <f t="shared" si="7"/>
        <v>8709</v>
      </c>
      <c r="M88" s="5" t="s">
        <v>23</v>
      </c>
      <c r="N88" s="7">
        <v>673122</v>
      </c>
    </row>
    <row r="89" spans="1:14" x14ac:dyDescent="0.3">
      <c r="A89" s="5" t="s">
        <v>23</v>
      </c>
      <c r="B89" s="6" t="s">
        <v>8</v>
      </c>
      <c r="C89" s="6">
        <v>7871842</v>
      </c>
      <c r="D89" s="6">
        <v>90853</v>
      </c>
      <c r="E89" s="6">
        <v>6327587</v>
      </c>
      <c r="F89" s="6"/>
      <c r="G89" s="7">
        <f t="shared" si="4"/>
        <v>1453402</v>
      </c>
      <c r="H89" s="12">
        <f t="shared" si="5"/>
        <v>1.1541517220492994</v>
      </c>
      <c r="I89" s="12">
        <f t="shared" si="6"/>
        <v>80.382545787885476</v>
      </c>
      <c r="J89">
        <f t="shared" si="7"/>
        <v>17200</v>
      </c>
      <c r="M89" s="5" t="s">
        <v>23</v>
      </c>
      <c r="N89" s="7">
        <v>1453402</v>
      </c>
    </row>
    <row r="90" spans="1:14" x14ac:dyDescent="0.3">
      <c r="A90" s="5" t="s">
        <v>24</v>
      </c>
      <c r="B90" s="6" t="s">
        <v>8</v>
      </c>
      <c r="C90" s="6">
        <v>7876330</v>
      </c>
      <c r="D90" s="6">
        <v>176857</v>
      </c>
      <c r="E90" s="6">
        <v>6749232</v>
      </c>
      <c r="F90" s="6"/>
      <c r="G90" s="7">
        <f t="shared" si="4"/>
        <v>950241</v>
      </c>
      <c r="H90" s="12">
        <f t="shared" si="5"/>
        <v>2.2454239474476054</v>
      </c>
      <c r="I90" s="12">
        <f t="shared" si="6"/>
        <v>85.690061234102686</v>
      </c>
      <c r="J90">
        <f t="shared" si="7"/>
        <v>4488</v>
      </c>
      <c r="M90" s="5" t="s">
        <v>24</v>
      </c>
      <c r="N90" s="7">
        <v>950241</v>
      </c>
    </row>
    <row r="91" spans="1:14" x14ac:dyDescent="0.3">
      <c r="A91" s="5" t="s">
        <v>24</v>
      </c>
      <c r="B91" s="6" t="s">
        <v>8</v>
      </c>
      <c r="C91" s="6">
        <v>7906834</v>
      </c>
      <c r="D91" s="6">
        <v>168214</v>
      </c>
      <c r="E91" s="6">
        <v>5748587</v>
      </c>
      <c r="F91" s="6"/>
      <c r="G91" s="7">
        <f t="shared" si="4"/>
        <v>1990033</v>
      </c>
      <c r="H91" s="12">
        <f t="shared" si="5"/>
        <v>2.1274507596845971</v>
      </c>
      <c r="I91" s="12">
        <f t="shared" si="6"/>
        <v>72.704030462761708</v>
      </c>
      <c r="J91">
        <f t="shared" si="7"/>
        <v>30504</v>
      </c>
      <c r="M91" s="5" t="s">
        <v>24</v>
      </c>
      <c r="N91" s="7">
        <v>1990033</v>
      </c>
    </row>
    <row r="92" spans="1:14" x14ac:dyDescent="0.3">
      <c r="A92" s="5" t="s">
        <v>24</v>
      </c>
      <c r="B92" s="6" t="s">
        <v>8</v>
      </c>
      <c r="C92" s="6">
        <v>7937554</v>
      </c>
      <c r="D92" s="6">
        <v>193272</v>
      </c>
      <c r="E92" s="6">
        <v>6372193</v>
      </c>
      <c r="F92" s="6"/>
      <c r="G92" s="7">
        <f t="shared" si="4"/>
        <v>1372089</v>
      </c>
      <c r="H92" s="12">
        <f t="shared" si="5"/>
        <v>2.4349062696140398</v>
      </c>
      <c r="I92" s="12">
        <f t="shared" si="6"/>
        <v>80.279050700001548</v>
      </c>
      <c r="J92">
        <f t="shared" si="7"/>
        <v>30720</v>
      </c>
      <c r="M92" s="5" t="s">
        <v>24</v>
      </c>
      <c r="N92" s="7">
        <v>1372089</v>
      </c>
    </row>
    <row r="93" spans="1:14" x14ac:dyDescent="0.3">
      <c r="A93" s="5" t="s">
        <v>24</v>
      </c>
      <c r="B93" s="6" t="s">
        <v>8</v>
      </c>
      <c r="C93" s="6">
        <v>7947186</v>
      </c>
      <c r="D93" s="6">
        <v>174441</v>
      </c>
      <c r="E93" s="6">
        <v>6192166</v>
      </c>
      <c r="F93" s="6"/>
      <c r="G93" s="7">
        <f t="shared" si="4"/>
        <v>1580579</v>
      </c>
      <c r="H93" s="12">
        <f t="shared" si="5"/>
        <v>2.1950033634546871</v>
      </c>
      <c r="I93" s="12">
        <f t="shared" si="6"/>
        <v>77.916459989737248</v>
      </c>
      <c r="J93">
        <f t="shared" si="7"/>
        <v>9632</v>
      </c>
      <c r="M93" s="5" t="s">
        <v>24</v>
      </c>
      <c r="N93" s="7">
        <v>1580579</v>
      </c>
    </row>
    <row r="94" spans="1:14" x14ac:dyDescent="0.3">
      <c r="A94" s="5" t="s">
        <v>24</v>
      </c>
      <c r="B94" s="6" t="s">
        <v>8</v>
      </c>
      <c r="C94" s="6">
        <v>7963419</v>
      </c>
      <c r="D94" s="6">
        <v>98238</v>
      </c>
      <c r="E94" s="6">
        <v>6265014</v>
      </c>
      <c r="F94" s="6"/>
      <c r="G94" s="7">
        <f t="shared" si="4"/>
        <v>1600167</v>
      </c>
      <c r="H94" s="12">
        <f t="shared" si="5"/>
        <v>1.2336158627343357</v>
      </c>
      <c r="I94" s="12">
        <f t="shared" si="6"/>
        <v>78.67241444912041</v>
      </c>
      <c r="J94">
        <f t="shared" si="7"/>
        <v>16233</v>
      </c>
      <c r="M94" s="5" t="s">
        <v>24</v>
      </c>
      <c r="N94" s="7">
        <v>1600167</v>
      </c>
    </row>
    <row r="95" spans="1:14" x14ac:dyDescent="0.3">
      <c r="A95" s="5" t="s">
        <v>24</v>
      </c>
      <c r="B95" s="6" t="s">
        <v>8</v>
      </c>
      <c r="C95" s="6">
        <v>7993281</v>
      </c>
      <c r="D95" s="6">
        <v>148740</v>
      </c>
      <c r="E95" s="6">
        <v>7018463</v>
      </c>
      <c r="F95" s="6"/>
      <c r="G95" s="7">
        <f t="shared" si="4"/>
        <v>826078</v>
      </c>
      <c r="H95" s="12">
        <f t="shared" si="5"/>
        <v>1.8608128501925554</v>
      </c>
      <c r="I95" s="12">
        <f t="shared" si="6"/>
        <v>87.804532331592</v>
      </c>
      <c r="J95">
        <f t="shared" si="7"/>
        <v>29862</v>
      </c>
      <c r="M95" s="5" t="s">
        <v>24</v>
      </c>
      <c r="N95" s="7">
        <v>826078</v>
      </c>
    </row>
    <row r="96" spans="1:14" x14ac:dyDescent="0.3">
      <c r="A96" s="5" t="s">
        <v>24</v>
      </c>
      <c r="B96" s="6" t="s">
        <v>8</v>
      </c>
      <c r="C96" s="6">
        <v>8004668</v>
      </c>
      <c r="D96" s="6">
        <v>90537</v>
      </c>
      <c r="E96" s="6">
        <v>5616709</v>
      </c>
      <c r="F96" s="6"/>
      <c r="G96" s="7">
        <f t="shared" si="4"/>
        <v>2297422</v>
      </c>
      <c r="H96" s="12">
        <f t="shared" si="5"/>
        <v>1.13105253084825</v>
      </c>
      <c r="I96" s="12">
        <f t="shared" si="6"/>
        <v>70.167919518960687</v>
      </c>
      <c r="J96">
        <f t="shared" si="7"/>
        <v>11387</v>
      </c>
      <c r="M96" s="5" t="s">
        <v>24</v>
      </c>
      <c r="N96" s="7">
        <v>2297422</v>
      </c>
    </row>
    <row r="97" spans="1:14" x14ac:dyDescent="0.3">
      <c r="A97" s="5" t="s">
        <v>24</v>
      </c>
      <c r="B97" s="6" t="s">
        <v>8</v>
      </c>
      <c r="C97" s="6">
        <v>8045906</v>
      </c>
      <c r="D97" s="6">
        <v>110998</v>
      </c>
      <c r="E97" s="6">
        <v>6570683</v>
      </c>
      <c r="F97" s="6"/>
      <c r="G97" s="7">
        <f t="shared" si="4"/>
        <v>1364225</v>
      </c>
      <c r="H97" s="12">
        <f t="shared" si="5"/>
        <v>1.3795587470199129</v>
      </c>
      <c r="I97" s="12">
        <f t="shared" si="6"/>
        <v>81.664923751284192</v>
      </c>
      <c r="J97">
        <f t="shared" si="7"/>
        <v>41238</v>
      </c>
      <c r="M97" s="5" t="s">
        <v>24</v>
      </c>
      <c r="N97" s="7">
        <v>1364225</v>
      </c>
    </row>
    <row r="98" spans="1:14" x14ac:dyDescent="0.3">
      <c r="A98" s="5" t="s">
        <v>25</v>
      </c>
      <c r="B98" s="6" t="s">
        <v>8</v>
      </c>
      <c r="C98" s="6">
        <v>8063415</v>
      </c>
      <c r="D98" s="6">
        <v>187805</v>
      </c>
      <c r="E98" s="6">
        <v>5673864</v>
      </c>
      <c r="F98" s="6"/>
      <c r="G98" s="7">
        <f t="shared" si="4"/>
        <v>2201746</v>
      </c>
      <c r="H98" s="12">
        <f t="shared" si="5"/>
        <v>2.3291000153160915</v>
      </c>
      <c r="I98" s="12">
        <f t="shared" si="6"/>
        <v>70.365521308279426</v>
      </c>
      <c r="J98">
        <f t="shared" si="7"/>
        <v>17509</v>
      </c>
      <c r="M98" s="5" t="s">
        <v>25</v>
      </c>
      <c r="N98" s="7">
        <v>2201746</v>
      </c>
    </row>
    <row r="99" spans="1:14" x14ac:dyDescent="0.3">
      <c r="A99" s="5" t="s">
        <v>25</v>
      </c>
      <c r="B99" s="6" t="s">
        <v>8</v>
      </c>
      <c r="C99" s="6">
        <v>8087383</v>
      </c>
      <c r="D99" s="6">
        <v>195245</v>
      </c>
      <c r="E99" s="6">
        <v>6720233</v>
      </c>
      <c r="F99" s="6"/>
      <c r="G99" s="7">
        <f t="shared" si="4"/>
        <v>1171905</v>
      </c>
      <c r="H99" s="12">
        <f t="shared" si="5"/>
        <v>2.4141925762635452</v>
      </c>
      <c r="I99" s="12">
        <f t="shared" si="6"/>
        <v>83.09527321755381</v>
      </c>
      <c r="J99">
        <f t="shared" si="7"/>
        <v>23968</v>
      </c>
      <c r="M99" s="5" t="s">
        <v>25</v>
      </c>
      <c r="N99" s="7">
        <v>1171905</v>
      </c>
    </row>
    <row r="100" spans="1:14" x14ac:dyDescent="0.3">
      <c r="A100" s="5" t="s">
        <v>25</v>
      </c>
      <c r="B100" s="6" t="s">
        <v>8</v>
      </c>
      <c r="C100" s="6">
        <v>8126669</v>
      </c>
      <c r="D100" s="6">
        <v>215786</v>
      </c>
      <c r="E100" s="6">
        <v>6070339</v>
      </c>
      <c r="F100" s="6"/>
      <c r="G100" s="7">
        <f t="shared" si="4"/>
        <v>1840544</v>
      </c>
      <c r="H100" s="12">
        <f t="shared" si="5"/>
        <v>2.6552822564817147</v>
      </c>
      <c r="I100" s="12">
        <f t="shared" si="6"/>
        <v>74.696520800834875</v>
      </c>
      <c r="J100">
        <f t="shared" si="7"/>
        <v>39286</v>
      </c>
      <c r="M100" s="5" t="s">
        <v>25</v>
      </c>
      <c r="N100" s="7">
        <v>1840544</v>
      </c>
    </row>
    <row r="101" spans="1:14" x14ac:dyDescent="0.3">
      <c r="A101" s="5" t="s">
        <v>25</v>
      </c>
      <c r="B101" s="6" t="s">
        <v>8</v>
      </c>
      <c r="C101" s="6">
        <v>8129586</v>
      </c>
      <c r="D101" s="6">
        <v>138912</v>
      </c>
      <c r="E101" s="6">
        <v>7101213</v>
      </c>
      <c r="F101" s="6"/>
      <c r="G101" s="7">
        <f t="shared" si="4"/>
        <v>889461</v>
      </c>
      <c r="H101" s="12">
        <f t="shared" si="5"/>
        <v>1.7087216987433307</v>
      </c>
      <c r="I101" s="12">
        <f t="shared" si="6"/>
        <v>87.350241451409701</v>
      </c>
      <c r="J101">
        <f t="shared" si="7"/>
        <v>2917</v>
      </c>
      <c r="M101" s="5" t="s">
        <v>25</v>
      </c>
      <c r="N101" s="7">
        <v>889461</v>
      </c>
    </row>
    <row r="102" spans="1:14" x14ac:dyDescent="0.3">
      <c r="A102" s="5" t="s">
        <v>25</v>
      </c>
      <c r="B102" s="6" t="s">
        <v>8</v>
      </c>
      <c r="C102" s="6">
        <v>8134292</v>
      </c>
      <c r="D102" s="6">
        <v>167393</v>
      </c>
      <c r="E102" s="6">
        <v>7150359</v>
      </c>
      <c r="F102" s="6"/>
      <c r="G102" s="7">
        <f t="shared" si="4"/>
        <v>816540</v>
      </c>
      <c r="H102" s="12">
        <f t="shared" si="5"/>
        <v>2.0578680971865775</v>
      </c>
      <c r="I102" s="12">
        <f t="shared" si="6"/>
        <v>87.903888869492263</v>
      </c>
      <c r="J102">
        <f t="shared" si="7"/>
        <v>4706</v>
      </c>
      <c r="M102" s="5" t="s">
        <v>25</v>
      </c>
      <c r="N102" s="7">
        <v>816540</v>
      </c>
    </row>
    <row r="103" spans="1:14" x14ac:dyDescent="0.3">
      <c r="A103" s="5" t="s">
        <v>25</v>
      </c>
      <c r="B103" s="6" t="s">
        <v>8</v>
      </c>
      <c r="C103" s="6">
        <v>8172964</v>
      </c>
      <c r="D103" s="6">
        <v>93480</v>
      </c>
      <c r="E103" s="6">
        <v>6355000</v>
      </c>
      <c r="F103" s="6"/>
      <c r="G103" s="7">
        <f t="shared" si="4"/>
        <v>1724484</v>
      </c>
      <c r="H103" s="12">
        <f t="shared" si="5"/>
        <v>1.1437710969973682</v>
      </c>
      <c r="I103" s="12">
        <f t="shared" si="6"/>
        <v>77.756368436224605</v>
      </c>
      <c r="J103">
        <f t="shared" si="7"/>
        <v>38672</v>
      </c>
      <c r="M103" s="5" t="s">
        <v>25</v>
      </c>
      <c r="N103" s="7">
        <v>1724484</v>
      </c>
    </row>
    <row r="104" spans="1:14" x14ac:dyDescent="0.3">
      <c r="A104" s="5" t="s">
        <v>25</v>
      </c>
      <c r="B104" s="6" t="s">
        <v>8</v>
      </c>
      <c r="C104" s="6">
        <v>8222400</v>
      </c>
      <c r="D104" s="6">
        <v>111516</v>
      </c>
      <c r="E104" s="6">
        <v>6236575</v>
      </c>
      <c r="F104" s="6"/>
      <c r="G104" s="7">
        <f t="shared" si="4"/>
        <v>1874309</v>
      </c>
      <c r="H104" s="12">
        <f t="shared" si="5"/>
        <v>1.3562463514302392</v>
      </c>
      <c r="I104" s="12">
        <f t="shared" si="6"/>
        <v>75.84859651683206</v>
      </c>
      <c r="J104">
        <f t="shared" si="7"/>
        <v>49436</v>
      </c>
      <c r="M104" s="5" t="s">
        <v>25</v>
      </c>
      <c r="N104" s="7">
        <v>1874309</v>
      </c>
    </row>
    <row r="105" spans="1:14" x14ac:dyDescent="0.3">
      <c r="A105" s="5" t="s">
        <v>25</v>
      </c>
      <c r="B105" s="6" t="s">
        <v>8</v>
      </c>
      <c r="C105" s="6">
        <v>8241752</v>
      </c>
      <c r="D105" s="6">
        <v>217412</v>
      </c>
      <c r="E105" s="6">
        <v>6483999</v>
      </c>
      <c r="F105" s="6"/>
      <c r="G105" s="7">
        <f t="shared" si="4"/>
        <v>1540341</v>
      </c>
      <c r="H105" s="12">
        <f t="shared" si="5"/>
        <v>2.6379342644622161</v>
      </c>
      <c r="I105" s="12">
        <f t="shared" si="6"/>
        <v>78.672580781367841</v>
      </c>
      <c r="J105">
        <f t="shared" si="7"/>
        <v>19352</v>
      </c>
      <c r="M105" s="5" t="s">
        <v>25</v>
      </c>
      <c r="N105" s="7">
        <v>1540341</v>
      </c>
    </row>
    <row r="106" spans="1:14" x14ac:dyDescent="0.3">
      <c r="A106" s="5" t="s">
        <v>26</v>
      </c>
      <c r="B106" s="6" t="s">
        <v>8</v>
      </c>
      <c r="C106" s="6">
        <v>8242950</v>
      </c>
      <c r="D106" s="6">
        <v>102115</v>
      </c>
      <c r="E106" s="6">
        <v>5950284</v>
      </c>
      <c r="F106" s="6"/>
      <c r="G106" s="7">
        <f t="shared" si="4"/>
        <v>2190551</v>
      </c>
      <c r="H106" s="12">
        <f t="shared" si="5"/>
        <v>1.2388162005107395</v>
      </c>
      <c r="I106" s="12">
        <f t="shared" si="6"/>
        <v>72.186341055083432</v>
      </c>
      <c r="J106">
        <f t="shared" si="7"/>
        <v>1198</v>
      </c>
      <c r="M106" s="5" t="s">
        <v>26</v>
      </c>
      <c r="N106" s="7">
        <v>2190551</v>
      </c>
    </row>
    <row r="107" spans="1:14" x14ac:dyDescent="0.3">
      <c r="A107" s="5" t="s">
        <v>26</v>
      </c>
      <c r="B107" s="6" t="s">
        <v>8</v>
      </c>
      <c r="C107" s="6">
        <v>8252101</v>
      </c>
      <c r="D107" s="6">
        <v>178824</v>
      </c>
      <c r="E107" s="6">
        <v>6246373</v>
      </c>
      <c r="F107" s="6"/>
      <c r="G107" s="7">
        <f t="shared" si="4"/>
        <v>1826904</v>
      </c>
      <c r="H107" s="12">
        <f t="shared" si="5"/>
        <v>2.1670117706993652</v>
      </c>
      <c r="I107" s="12">
        <f t="shared" si="6"/>
        <v>75.694335297156442</v>
      </c>
      <c r="J107">
        <f t="shared" si="7"/>
        <v>9151</v>
      </c>
      <c r="M107" s="5" t="s">
        <v>26</v>
      </c>
      <c r="N107" s="7">
        <v>1826904</v>
      </c>
    </row>
    <row r="108" spans="1:14" x14ac:dyDescent="0.3">
      <c r="A108" s="5" t="s">
        <v>26</v>
      </c>
      <c r="B108" s="6" t="s">
        <v>8</v>
      </c>
      <c r="C108" s="6">
        <v>8297299</v>
      </c>
      <c r="D108" s="6">
        <v>104283</v>
      </c>
      <c r="E108" s="6">
        <v>7383145</v>
      </c>
      <c r="F108" s="6"/>
      <c r="G108" s="7">
        <f t="shared" si="4"/>
        <v>809871</v>
      </c>
      <c r="H108" s="12">
        <f t="shared" si="5"/>
        <v>1.2568306867090122</v>
      </c>
      <c r="I108" s="12">
        <f t="shared" si="6"/>
        <v>88.982511055706198</v>
      </c>
      <c r="J108">
        <f t="shared" si="7"/>
        <v>45198</v>
      </c>
      <c r="M108" s="5" t="s">
        <v>26</v>
      </c>
      <c r="N108" s="7">
        <v>809871</v>
      </c>
    </row>
    <row r="109" spans="1:14" x14ac:dyDescent="0.3">
      <c r="A109" s="5" t="s">
        <v>26</v>
      </c>
      <c r="B109" s="6" t="s">
        <v>8</v>
      </c>
      <c r="C109" s="6">
        <v>8340254</v>
      </c>
      <c r="D109" s="6">
        <v>173148</v>
      </c>
      <c r="E109" s="6">
        <v>7244592</v>
      </c>
      <c r="F109" s="6"/>
      <c r="G109" s="7">
        <f t="shared" si="4"/>
        <v>922514</v>
      </c>
      <c r="H109" s="12">
        <f t="shared" si="5"/>
        <v>2.0760518804343366</v>
      </c>
      <c r="I109" s="12">
        <f t="shared" si="6"/>
        <v>86.862966043959815</v>
      </c>
      <c r="J109">
        <f t="shared" si="7"/>
        <v>42955</v>
      </c>
      <c r="M109" s="5" t="s">
        <v>26</v>
      </c>
      <c r="N109" s="7">
        <v>922514</v>
      </c>
    </row>
    <row r="110" spans="1:14" x14ac:dyDescent="0.3">
      <c r="A110" s="5" t="s">
        <v>26</v>
      </c>
      <c r="B110" s="6" t="s">
        <v>8</v>
      </c>
      <c r="C110" s="6">
        <v>8347538</v>
      </c>
      <c r="D110" s="6">
        <v>99127</v>
      </c>
      <c r="E110" s="6">
        <v>7044099</v>
      </c>
      <c r="F110" s="6"/>
      <c r="G110" s="7">
        <f t="shared" si="4"/>
        <v>1204312</v>
      </c>
      <c r="H110" s="12">
        <f t="shared" si="5"/>
        <v>1.1874998352807737</v>
      </c>
      <c r="I110" s="12">
        <f t="shared" si="6"/>
        <v>84.385348111023873</v>
      </c>
      <c r="J110">
        <f t="shared" si="7"/>
        <v>7284</v>
      </c>
      <c r="M110" s="5" t="s">
        <v>26</v>
      </c>
      <c r="N110" s="7">
        <v>1204312</v>
      </c>
    </row>
    <row r="111" spans="1:14" x14ac:dyDescent="0.3">
      <c r="A111" s="5" t="s">
        <v>26</v>
      </c>
      <c r="B111" s="6" t="s">
        <v>8</v>
      </c>
      <c r="C111" s="6">
        <v>8361772</v>
      </c>
      <c r="D111" s="6">
        <v>191891</v>
      </c>
      <c r="E111" s="6">
        <v>7126756</v>
      </c>
      <c r="F111" s="6"/>
      <c r="G111" s="7">
        <f t="shared" si="4"/>
        <v>1043125</v>
      </c>
      <c r="H111" s="12">
        <f t="shared" si="5"/>
        <v>2.2948604673746189</v>
      </c>
      <c r="I111" s="12">
        <f t="shared" si="6"/>
        <v>85.230211969424658</v>
      </c>
      <c r="J111">
        <f t="shared" si="7"/>
        <v>14234</v>
      </c>
      <c r="M111" s="5" t="s">
        <v>26</v>
      </c>
      <c r="N111" s="7">
        <v>1043125</v>
      </c>
    </row>
    <row r="112" spans="1:14" x14ac:dyDescent="0.3">
      <c r="A112" s="5" t="s">
        <v>26</v>
      </c>
      <c r="B112" s="6" t="s">
        <v>8</v>
      </c>
      <c r="C112" s="6">
        <v>8375212</v>
      </c>
      <c r="D112" s="6">
        <v>185444</v>
      </c>
      <c r="E112" s="6">
        <v>7208158</v>
      </c>
      <c r="F112" s="6"/>
      <c r="G112" s="7">
        <f t="shared" si="4"/>
        <v>981610</v>
      </c>
      <c r="H112" s="12">
        <f t="shared" si="5"/>
        <v>2.214200667398031</v>
      </c>
      <c r="I112" s="12">
        <f t="shared" si="6"/>
        <v>86.06537959874926</v>
      </c>
      <c r="J112">
        <f t="shared" si="7"/>
        <v>13440</v>
      </c>
      <c r="M112" s="5" t="s">
        <v>26</v>
      </c>
      <c r="N112" s="7">
        <v>981610</v>
      </c>
    </row>
    <row r="113" spans="1:14" x14ac:dyDescent="0.3">
      <c r="A113" s="5" t="s">
        <v>26</v>
      </c>
      <c r="B113" s="6" t="s">
        <v>8</v>
      </c>
      <c r="C113" s="6">
        <v>8377066</v>
      </c>
      <c r="D113" s="6">
        <v>93027</v>
      </c>
      <c r="E113" s="6">
        <v>7302252</v>
      </c>
      <c r="F113" s="6"/>
      <c r="G113" s="7">
        <f t="shared" si="4"/>
        <v>981787</v>
      </c>
      <c r="H113" s="12">
        <f t="shared" si="5"/>
        <v>1.110496204757131</v>
      </c>
      <c r="I113" s="12">
        <f t="shared" si="6"/>
        <v>87.169565095941707</v>
      </c>
      <c r="J113">
        <f t="shared" si="7"/>
        <v>1854</v>
      </c>
      <c r="M113" s="5" t="s">
        <v>26</v>
      </c>
      <c r="N113" s="7">
        <v>981787</v>
      </c>
    </row>
    <row r="114" spans="1:14" x14ac:dyDescent="0.3">
      <c r="A114" s="5" t="s">
        <v>27</v>
      </c>
      <c r="B114" s="6" t="s">
        <v>8</v>
      </c>
      <c r="C114" s="6">
        <v>8425162</v>
      </c>
      <c r="D114" s="6">
        <v>240903</v>
      </c>
      <c r="E114" s="6">
        <v>7362548</v>
      </c>
      <c r="F114" s="6"/>
      <c r="G114" s="7">
        <f t="shared" si="4"/>
        <v>821711</v>
      </c>
      <c r="H114" s="12">
        <f t="shared" si="5"/>
        <v>2.8593278087709173</v>
      </c>
      <c r="I114" s="12">
        <f t="shared" si="6"/>
        <v>87.38761343698792</v>
      </c>
      <c r="J114">
        <f t="shared" si="7"/>
        <v>48096</v>
      </c>
      <c r="M114" s="5" t="s">
        <v>27</v>
      </c>
      <c r="N114" s="7">
        <v>821711</v>
      </c>
    </row>
    <row r="115" spans="1:14" x14ac:dyDescent="0.3">
      <c r="A115" s="5" t="s">
        <v>27</v>
      </c>
      <c r="B115" s="6" t="s">
        <v>8</v>
      </c>
      <c r="C115" s="6">
        <v>8475074</v>
      </c>
      <c r="D115" s="6">
        <v>228721</v>
      </c>
      <c r="E115" s="6">
        <v>6647494</v>
      </c>
      <c r="F115" s="6"/>
      <c r="G115" s="7">
        <f t="shared" si="4"/>
        <v>1598859</v>
      </c>
      <c r="H115" s="12">
        <f t="shared" si="5"/>
        <v>2.6987492970562856</v>
      </c>
      <c r="I115" s="12">
        <f t="shared" si="6"/>
        <v>78.435822507272505</v>
      </c>
      <c r="J115">
        <f t="shared" si="7"/>
        <v>49912</v>
      </c>
      <c r="M115" s="5" t="s">
        <v>27</v>
      </c>
      <c r="N115" s="7">
        <v>1598859</v>
      </c>
    </row>
    <row r="116" spans="1:14" x14ac:dyDescent="0.3">
      <c r="A116" s="5" t="s">
        <v>27</v>
      </c>
      <c r="B116" s="6" t="s">
        <v>8</v>
      </c>
      <c r="C116" s="6">
        <v>8515923</v>
      </c>
      <c r="D116" s="6">
        <v>165175</v>
      </c>
      <c r="E116" s="6">
        <v>7025380</v>
      </c>
      <c r="F116" s="6"/>
      <c r="G116" s="7">
        <f t="shared" si="4"/>
        <v>1325368</v>
      </c>
      <c r="H116" s="12">
        <f t="shared" si="5"/>
        <v>1.9396018493826213</v>
      </c>
      <c r="I116" s="12">
        <f t="shared" si="6"/>
        <v>82.49698828887955</v>
      </c>
      <c r="J116">
        <f t="shared" si="7"/>
        <v>40849</v>
      </c>
      <c r="M116" s="5" t="s">
        <v>27</v>
      </c>
      <c r="N116" s="7">
        <v>1325368</v>
      </c>
    </row>
    <row r="117" spans="1:14" x14ac:dyDescent="0.3">
      <c r="A117" s="5" t="s">
        <v>27</v>
      </c>
      <c r="B117" s="6" t="s">
        <v>8</v>
      </c>
      <c r="C117" s="6">
        <v>8518559</v>
      </c>
      <c r="D117" s="6">
        <v>143147</v>
      </c>
      <c r="E117" s="6">
        <v>6122153</v>
      </c>
      <c r="F117" s="6"/>
      <c r="G117" s="7">
        <f t="shared" si="4"/>
        <v>2253259</v>
      </c>
      <c r="H117" s="12">
        <f t="shared" si="5"/>
        <v>1.6804133187314896</v>
      </c>
      <c r="I117" s="12">
        <f t="shared" si="6"/>
        <v>71.868411077507361</v>
      </c>
      <c r="J117">
        <f t="shared" si="7"/>
        <v>2636</v>
      </c>
      <c r="M117" s="5" t="s">
        <v>27</v>
      </c>
      <c r="N117" s="7">
        <v>2253259</v>
      </c>
    </row>
    <row r="118" spans="1:14" x14ac:dyDescent="0.3">
      <c r="A118" s="5" t="s">
        <v>27</v>
      </c>
      <c r="B118" s="6" t="s">
        <v>8</v>
      </c>
      <c r="C118" s="6">
        <v>8544516</v>
      </c>
      <c r="D118" s="6">
        <v>103589</v>
      </c>
      <c r="E118" s="6">
        <v>6521580</v>
      </c>
      <c r="F118" s="6"/>
      <c r="G118" s="7">
        <f t="shared" si="4"/>
        <v>1919347</v>
      </c>
      <c r="H118" s="12">
        <f t="shared" si="5"/>
        <v>1.2123448537049961</v>
      </c>
      <c r="I118" s="12">
        <f t="shared" si="6"/>
        <v>76.324744432569375</v>
      </c>
      <c r="J118">
        <f t="shared" si="7"/>
        <v>25957</v>
      </c>
      <c r="M118" s="5" t="s">
        <v>27</v>
      </c>
      <c r="N118" s="7">
        <v>1919347</v>
      </c>
    </row>
    <row r="119" spans="1:14" x14ac:dyDescent="0.3">
      <c r="A119" s="5" t="s">
        <v>27</v>
      </c>
      <c r="B119" s="6" t="s">
        <v>8</v>
      </c>
      <c r="C119" s="6">
        <v>8546425</v>
      </c>
      <c r="D119" s="6">
        <v>213331</v>
      </c>
      <c r="E119" s="6">
        <v>7558431</v>
      </c>
      <c r="F119" s="6"/>
      <c r="G119" s="7">
        <f t="shared" si="4"/>
        <v>774663</v>
      </c>
      <c r="H119" s="12">
        <f t="shared" si="5"/>
        <v>2.4961431241718026</v>
      </c>
      <c r="I119" s="12">
        <f t="shared" si="6"/>
        <v>88.439680919214751</v>
      </c>
      <c r="J119">
        <f t="shared" si="7"/>
        <v>1909</v>
      </c>
      <c r="M119" s="5" t="s">
        <v>27</v>
      </c>
      <c r="N119" s="7">
        <v>774663</v>
      </c>
    </row>
    <row r="120" spans="1:14" x14ac:dyDescent="0.3">
      <c r="A120" s="5" t="s">
        <v>27</v>
      </c>
      <c r="B120" s="6" t="s">
        <v>8</v>
      </c>
      <c r="C120" s="6">
        <v>8552472</v>
      </c>
      <c r="D120" s="6">
        <v>172095</v>
      </c>
      <c r="E120" s="6">
        <v>6310812</v>
      </c>
      <c r="F120" s="6"/>
      <c r="G120" s="7">
        <f t="shared" si="4"/>
        <v>2069565</v>
      </c>
      <c r="H120" s="12">
        <f t="shared" si="5"/>
        <v>2.0122252373348899</v>
      </c>
      <c r="I120" s="12">
        <f t="shared" si="6"/>
        <v>73.789332487729865</v>
      </c>
      <c r="J120">
        <f t="shared" si="7"/>
        <v>6047</v>
      </c>
      <c r="M120" s="5" t="s">
        <v>27</v>
      </c>
      <c r="N120" s="7">
        <v>2069565</v>
      </c>
    </row>
    <row r="121" spans="1:14" x14ac:dyDescent="0.3">
      <c r="A121" s="5" t="s">
        <v>27</v>
      </c>
      <c r="B121" s="6" t="s">
        <v>8</v>
      </c>
      <c r="C121" s="6">
        <v>8585437</v>
      </c>
      <c r="D121" s="6">
        <v>239425</v>
      </c>
      <c r="E121" s="6">
        <v>7418957</v>
      </c>
      <c r="F121" s="6"/>
      <c r="G121" s="7">
        <f t="shared" si="4"/>
        <v>927055</v>
      </c>
      <c r="H121" s="12">
        <f t="shared" si="5"/>
        <v>2.7887339922242749</v>
      </c>
      <c r="I121" s="12">
        <f t="shared" si="6"/>
        <v>86.413271683200293</v>
      </c>
      <c r="J121">
        <f t="shared" si="7"/>
        <v>32965</v>
      </c>
      <c r="M121" s="5" t="s">
        <v>27</v>
      </c>
      <c r="N121" s="7">
        <v>927055</v>
      </c>
    </row>
    <row r="122" spans="1:14" x14ac:dyDescent="0.3">
      <c r="A122" s="5" t="s">
        <v>28</v>
      </c>
      <c r="B122" s="6" t="s">
        <v>8</v>
      </c>
      <c r="C122" s="6">
        <v>8617781</v>
      </c>
      <c r="D122" s="6">
        <v>143112</v>
      </c>
      <c r="E122" s="6">
        <v>7067591</v>
      </c>
      <c r="F122" s="6"/>
      <c r="G122" s="7">
        <f t="shared" si="4"/>
        <v>1407078</v>
      </c>
      <c r="H122" s="12">
        <f t="shared" si="5"/>
        <v>1.6606595131623789</v>
      </c>
      <c r="I122" s="12">
        <f t="shared" si="6"/>
        <v>82.011726684630304</v>
      </c>
      <c r="J122">
        <f t="shared" si="7"/>
        <v>32344</v>
      </c>
      <c r="M122" s="5" t="s">
        <v>28</v>
      </c>
      <c r="N122" s="7">
        <v>1407078</v>
      </c>
    </row>
    <row r="123" spans="1:14" x14ac:dyDescent="0.3">
      <c r="A123" s="5" t="s">
        <v>28</v>
      </c>
      <c r="B123" s="6" t="s">
        <v>8</v>
      </c>
      <c r="C123" s="6">
        <v>8639769</v>
      </c>
      <c r="D123" s="6">
        <v>146485</v>
      </c>
      <c r="E123" s="6">
        <v>6861726</v>
      </c>
      <c r="F123" s="6"/>
      <c r="G123" s="7">
        <f t="shared" si="4"/>
        <v>1631558</v>
      </c>
      <c r="H123" s="12">
        <f t="shared" si="5"/>
        <v>1.695473571110524</v>
      </c>
      <c r="I123" s="12">
        <f t="shared" si="6"/>
        <v>79.420248388585392</v>
      </c>
      <c r="J123">
        <f t="shared" si="7"/>
        <v>21988</v>
      </c>
      <c r="M123" s="5" t="s">
        <v>28</v>
      </c>
      <c r="N123" s="7">
        <v>1631558</v>
      </c>
    </row>
    <row r="124" spans="1:14" x14ac:dyDescent="0.3">
      <c r="A124" s="5" t="s">
        <v>28</v>
      </c>
      <c r="B124" s="6" t="s">
        <v>8</v>
      </c>
      <c r="C124" s="6">
        <v>8644933</v>
      </c>
      <c r="D124" s="6">
        <v>167326</v>
      </c>
      <c r="E124" s="6">
        <v>7727916</v>
      </c>
      <c r="F124" s="6"/>
      <c r="G124" s="7">
        <f t="shared" si="4"/>
        <v>749691</v>
      </c>
      <c r="H124" s="12">
        <f t="shared" si="5"/>
        <v>1.9355384246471314</v>
      </c>
      <c r="I124" s="12">
        <f t="shared" si="6"/>
        <v>89.392433694974855</v>
      </c>
      <c r="J124">
        <f t="shared" si="7"/>
        <v>5164</v>
      </c>
      <c r="M124" s="5" t="s">
        <v>28</v>
      </c>
      <c r="N124" s="7">
        <v>749691</v>
      </c>
    </row>
    <row r="125" spans="1:14" x14ac:dyDescent="0.3">
      <c r="A125" s="5" t="s">
        <v>28</v>
      </c>
      <c r="B125" s="6" t="s">
        <v>8</v>
      </c>
      <c r="C125" s="6">
        <v>8658607</v>
      </c>
      <c r="D125" s="6">
        <v>238973</v>
      </c>
      <c r="E125" s="6">
        <v>7186300</v>
      </c>
      <c r="F125" s="6"/>
      <c r="G125" s="7">
        <f t="shared" si="4"/>
        <v>1233334</v>
      </c>
      <c r="H125" s="12">
        <f t="shared" si="5"/>
        <v>2.7599474141741274</v>
      </c>
      <c r="I125" s="12">
        <f t="shared" si="6"/>
        <v>82.996029268911258</v>
      </c>
      <c r="J125">
        <f t="shared" si="7"/>
        <v>13674</v>
      </c>
      <c r="M125" s="5" t="s">
        <v>28</v>
      </c>
      <c r="N125" s="7">
        <v>1233334</v>
      </c>
    </row>
    <row r="126" spans="1:14" x14ac:dyDescent="0.3">
      <c r="A126" s="5" t="s">
        <v>28</v>
      </c>
      <c r="B126" s="6" t="s">
        <v>8</v>
      </c>
      <c r="C126" s="6">
        <v>8679431</v>
      </c>
      <c r="D126" s="6">
        <v>131283</v>
      </c>
      <c r="E126" s="6">
        <v>6411189</v>
      </c>
      <c r="F126" s="6"/>
      <c r="G126" s="7">
        <f t="shared" si="4"/>
        <v>2136959</v>
      </c>
      <c r="H126" s="12">
        <f t="shared" si="5"/>
        <v>1.5125761124202728</v>
      </c>
      <c r="I126" s="12">
        <f t="shared" si="6"/>
        <v>73.866466592107244</v>
      </c>
      <c r="J126">
        <f t="shared" si="7"/>
        <v>20824</v>
      </c>
      <c r="M126" s="5" t="s">
        <v>28</v>
      </c>
      <c r="N126" s="7">
        <v>2136959</v>
      </c>
    </row>
    <row r="127" spans="1:14" x14ac:dyDescent="0.3">
      <c r="A127" s="5" t="s">
        <v>28</v>
      </c>
      <c r="B127" s="6" t="s">
        <v>8</v>
      </c>
      <c r="C127" s="6">
        <v>8716028</v>
      </c>
      <c r="D127" s="6">
        <v>158368</v>
      </c>
      <c r="E127" s="6">
        <v>7260252</v>
      </c>
      <c r="F127" s="6"/>
      <c r="G127" s="7">
        <f t="shared" si="4"/>
        <v>1297408</v>
      </c>
      <c r="H127" s="12">
        <f t="shared" si="5"/>
        <v>1.8169744291780616</v>
      </c>
      <c r="I127" s="12">
        <f t="shared" si="6"/>
        <v>83.297713132633362</v>
      </c>
      <c r="J127">
        <f t="shared" si="7"/>
        <v>36597</v>
      </c>
      <c r="M127" s="5" t="s">
        <v>28</v>
      </c>
      <c r="N127" s="7">
        <v>1297408</v>
      </c>
    </row>
    <row r="128" spans="1:14" x14ac:dyDescent="0.3">
      <c r="A128" s="5" t="s">
        <v>28</v>
      </c>
      <c r="B128" s="6" t="s">
        <v>8</v>
      </c>
      <c r="C128" s="6">
        <v>8740322</v>
      </c>
      <c r="D128" s="6">
        <v>148094</v>
      </c>
      <c r="E128" s="6">
        <v>6266910</v>
      </c>
      <c r="F128" s="6"/>
      <c r="G128" s="7">
        <f t="shared" si="4"/>
        <v>2325318</v>
      </c>
      <c r="H128" s="12">
        <f t="shared" si="5"/>
        <v>1.6943769348543452</v>
      </c>
      <c r="I128" s="12">
        <f t="shared" si="6"/>
        <v>71.701134122976256</v>
      </c>
      <c r="J128">
        <f t="shared" si="7"/>
        <v>24294</v>
      </c>
      <c r="M128" s="5" t="s">
        <v>28</v>
      </c>
      <c r="N128" s="7">
        <v>2325318</v>
      </c>
    </row>
    <row r="129" spans="1:14" x14ac:dyDescent="0.3">
      <c r="A129" s="5" t="s">
        <v>28</v>
      </c>
      <c r="B129" s="6" t="s">
        <v>8</v>
      </c>
      <c r="C129" s="6">
        <v>8745295</v>
      </c>
      <c r="D129" s="6">
        <v>170656</v>
      </c>
      <c r="E129" s="6">
        <v>7186995</v>
      </c>
      <c r="F129" s="6"/>
      <c r="G129" s="7">
        <f t="shared" si="4"/>
        <v>1387644</v>
      </c>
      <c r="H129" s="12">
        <f t="shared" si="5"/>
        <v>1.9514035832982193</v>
      </c>
      <c r="I129" s="12">
        <f t="shared" si="6"/>
        <v>82.181275760280244</v>
      </c>
      <c r="J129">
        <f t="shared" si="7"/>
        <v>4973</v>
      </c>
      <c r="M129" s="5" t="s">
        <v>28</v>
      </c>
      <c r="N129" s="7">
        <v>1387644</v>
      </c>
    </row>
    <row r="130" spans="1:14" x14ac:dyDescent="0.3">
      <c r="A130" s="5" t="s">
        <v>29</v>
      </c>
      <c r="B130" s="6" t="s">
        <v>8</v>
      </c>
      <c r="C130" s="6">
        <v>8771089</v>
      </c>
      <c r="D130" s="6">
        <v>208710</v>
      </c>
      <c r="E130" s="6">
        <v>7450043</v>
      </c>
      <c r="F130" s="6"/>
      <c r="G130" s="7">
        <f t="shared" si="4"/>
        <v>1112336</v>
      </c>
      <c r="H130" s="12">
        <f t="shared" si="5"/>
        <v>2.3795220867100992</v>
      </c>
      <c r="I130" s="12">
        <f t="shared" si="6"/>
        <v>84.938631907622877</v>
      </c>
      <c r="J130">
        <f t="shared" si="7"/>
        <v>25794</v>
      </c>
      <c r="M130" s="5" t="s">
        <v>29</v>
      </c>
      <c r="N130" s="7">
        <v>1112336</v>
      </c>
    </row>
    <row r="131" spans="1:14" x14ac:dyDescent="0.3">
      <c r="A131" s="5" t="s">
        <v>29</v>
      </c>
      <c r="B131" s="6" t="s">
        <v>8</v>
      </c>
      <c r="C131" s="6">
        <v>8787943</v>
      </c>
      <c r="D131" s="6">
        <v>175287</v>
      </c>
      <c r="E131" s="6">
        <v>6903013</v>
      </c>
      <c r="F131" s="6"/>
      <c r="G131" s="7">
        <f t="shared" ref="G131:G194" si="8" xml:space="preserve"> C131-D131-E131</f>
        <v>1709643</v>
      </c>
      <c r="H131" s="12">
        <f t="shared" ref="H131:H194" si="9">D131/C131*100</f>
        <v>1.9946305978543557</v>
      </c>
      <c r="I131" s="12">
        <f t="shared" ref="I131:I194" si="10">E131/C131*100</f>
        <v>78.550953277689672</v>
      </c>
      <c r="J131">
        <f t="shared" ref="J131:J194" si="11">IF(B131=B130,C131-C130,"")</f>
        <v>16854</v>
      </c>
      <c r="M131" s="5" t="s">
        <v>29</v>
      </c>
      <c r="N131" s="7">
        <v>1709643</v>
      </c>
    </row>
    <row r="132" spans="1:14" x14ac:dyDescent="0.3">
      <c r="A132" s="5" t="s">
        <v>29</v>
      </c>
      <c r="B132" s="6" t="s">
        <v>8</v>
      </c>
      <c r="C132" s="6">
        <v>8833352</v>
      </c>
      <c r="D132" s="6">
        <v>161413</v>
      </c>
      <c r="E132" s="6">
        <v>7541983</v>
      </c>
      <c r="F132" s="6"/>
      <c r="G132" s="7">
        <f t="shared" si="8"/>
        <v>1129956</v>
      </c>
      <c r="H132" s="12">
        <f t="shared" si="9"/>
        <v>1.8273131196401999</v>
      </c>
      <c r="I132" s="12">
        <f t="shared" si="10"/>
        <v>85.380759195376797</v>
      </c>
      <c r="J132">
        <f t="shared" si="11"/>
        <v>45409</v>
      </c>
      <c r="M132" s="5" t="s">
        <v>29</v>
      </c>
      <c r="N132" s="7">
        <v>1129956</v>
      </c>
    </row>
    <row r="133" spans="1:14" x14ac:dyDescent="0.3">
      <c r="A133" s="5" t="s">
        <v>29</v>
      </c>
      <c r="B133" s="6" t="s">
        <v>8</v>
      </c>
      <c r="C133" s="6">
        <v>8864094</v>
      </c>
      <c r="D133" s="6">
        <v>176825</v>
      </c>
      <c r="E133" s="6">
        <v>6573846</v>
      </c>
      <c r="F133" s="6"/>
      <c r="G133" s="7">
        <f t="shared" si="8"/>
        <v>2113423</v>
      </c>
      <c r="H133" s="12">
        <f t="shared" si="9"/>
        <v>1.994845722529567</v>
      </c>
      <c r="I133" s="12">
        <f t="shared" si="10"/>
        <v>74.162638618227646</v>
      </c>
      <c r="J133">
        <f t="shared" si="11"/>
        <v>30742</v>
      </c>
      <c r="M133" s="5" t="s">
        <v>29</v>
      </c>
      <c r="N133" s="7">
        <v>2113423</v>
      </c>
    </row>
    <row r="134" spans="1:14" x14ac:dyDescent="0.3">
      <c r="A134" s="5" t="s">
        <v>29</v>
      </c>
      <c r="B134" s="6" t="s">
        <v>8</v>
      </c>
      <c r="C134" s="6">
        <v>8899897</v>
      </c>
      <c r="D134" s="6">
        <v>158827</v>
      </c>
      <c r="E134" s="6">
        <v>7839681</v>
      </c>
      <c r="F134" s="6"/>
      <c r="G134" s="7">
        <f t="shared" si="8"/>
        <v>901389</v>
      </c>
      <c r="H134" s="12">
        <f t="shared" si="9"/>
        <v>1.7845936868707581</v>
      </c>
      <c r="I134" s="12">
        <f t="shared" si="10"/>
        <v>88.08732280834262</v>
      </c>
      <c r="J134">
        <f t="shared" si="11"/>
        <v>35803</v>
      </c>
      <c r="M134" s="5" t="s">
        <v>29</v>
      </c>
      <c r="N134" s="7">
        <v>901389</v>
      </c>
    </row>
    <row r="135" spans="1:14" x14ac:dyDescent="0.3">
      <c r="A135" s="5" t="s">
        <v>29</v>
      </c>
      <c r="B135" s="6" t="s">
        <v>8</v>
      </c>
      <c r="C135" s="6">
        <v>8935269</v>
      </c>
      <c r="D135" s="6">
        <v>203393</v>
      </c>
      <c r="E135" s="6">
        <v>6593310</v>
      </c>
      <c r="F135" s="6"/>
      <c r="G135" s="7">
        <f t="shared" si="8"/>
        <v>2138566</v>
      </c>
      <c r="H135" s="12">
        <f t="shared" si="9"/>
        <v>2.2762940880683056</v>
      </c>
      <c r="I135" s="12">
        <f t="shared" si="10"/>
        <v>73.789720264717275</v>
      </c>
      <c r="J135">
        <f t="shared" si="11"/>
        <v>35372</v>
      </c>
      <c r="M135" s="5" t="s">
        <v>29</v>
      </c>
      <c r="N135" s="7">
        <v>2138566</v>
      </c>
    </row>
    <row r="136" spans="1:14" x14ac:dyDescent="0.3">
      <c r="A136" s="5" t="s">
        <v>29</v>
      </c>
      <c r="B136" s="6" t="s">
        <v>8</v>
      </c>
      <c r="C136" s="6">
        <v>8970125</v>
      </c>
      <c r="D136" s="6">
        <v>182080</v>
      </c>
      <c r="E136" s="6">
        <v>7067087</v>
      </c>
      <c r="F136" s="6"/>
      <c r="G136" s="7">
        <f t="shared" si="8"/>
        <v>1720958</v>
      </c>
      <c r="H136" s="12">
        <f t="shared" si="9"/>
        <v>2.0298490823706472</v>
      </c>
      <c r="I136" s="12">
        <f t="shared" si="10"/>
        <v>78.784710357993887</v>
      </c>
      <c r="J136">
        <f t="shared" si="11"/>
        <v>34856</v>
      </c>
      <c r="M136" s="5" t="s">
        <v>29</v>
      </c>
      <c r="N136" s="7">
        <v>1720958</v>
      </c>
    </row>
    <row r="137" spans="1:14" x14ac:dyDescent="0.3">
      <c r="A137" s="5" t="s">
        <v>29</v>
      </c>
      <c r="B137" s="6" t="s">
        <v>8</v>
      </c>
      <c r="C137" s="6">
        <v>9003456</v>
      </c>
      <c r="D137" s="6">
        <v>144934</v>
      </c>
      <c r="E137" s="6">
        <v>8003363</v>
      </c>
      <c r="F137" s="6"/>
      <c r="G137" s="7">
        <f t="shared" si="8"/>
        <v>855159</v>
      </c>
      <c r="H137" s="12">
        <f t="shared" si="9"/>
        <v>1.6097596300798271</v>
      </c>
      <c r="I137" s="12">
        <f t="shared" si="10"/>
        <v>88.892120981098813</v>
      </c>
      <c r="J137">
        <f t="shared" si="11"/>
        <v>33331</v>
      </c>
      <c r="M137" s="5" t="s">
        <v>29</v>
      </c>
      <c r="N137" s="7">
        <v>855159</v>
      </c>
    </row>
    <row r="138" spans="1:14" x14ac:dyDescent="0.3">
      <c r="A138" s="5" t="s">
        <v>30</v>
      </c>
      <c r="B138" s="6" t="s">
        <v>8</v>
      </c>
      <c r="C138" s="6">
        <v>9037913</v>
      </c>
      <c r="D138" s="6">
        <v>184831</v>
      </c>
      <c r="E138" s="6">
        <v>8019033</v>
      </c>
      <c r="F138" s="6"/>
      <c r="G138" s="7">
        <f t="shared" si="8"/>
        <v>834049</v>
      </c>
      <c r="H138" s="12">
        <f t="shared" si="9"/>
        <v>2.0450628369624715</v>
      </c>
      <c r="I138" s="12">
        <f t="shared" si="10"/>
        <v>88.726600930989264</v>
      </c>
      <c r="J138">
        <f t="shared" si="11"/>
        <v>34457</v>
      </c>
      <c r="M138" s="5" t="s">
        <v>30</v>
      </c>
      <c r="N138" s="7">
        <v>834049</v>
      </c>
    </row>
    <row r="139" spans="1:14" x14ac:dyDescent="0.3">
      <c r="A139" s="5" t="s">
        <v>30</v>
      </c>
      <c r="B139" s="6" t="s">
        <v>8</v>
      </c>
      <c r="C139" s="6">
        <v>9082118</v>
      </c>
      <c r="D139" s="6">
        <v>171519</v>
      </c>
      <c r="E139" s="6">
        <v>6576992</v>
      </c>
      <c r="F139" s="6"/>
      <c r="G139" s="7">
        <f t="shared" si="8"/>
        <v>2333607</v>
      </c>
      <c r="H139" s="12">
        <f t="shared" si="9"/>
        <v>1.888535251358769</v>
      </c>
      <c r="I139" s="12">
        <f t="shared" si="10"/>
        <v>72.41694062992795</v>
      </c>
      <c r="J139">
        <f t="shared" si="11"/>
        <v>44205</v>
      </c>
      <c r="M139" s="5" t="s">
        <v>30</v>
      </c>
      <c r="N139" s="7">
        <v>2333607</v>
      </c>
    </row>
    <row r="140" spans="1:14" x14ac:dyDescent="0.3">
      <c r="A140" s="5" t="s">
        <v>30</v>
      </c>
      <c r="B140" s="6" t="s">
        <v>8</v>
      </c>
      <c r="C140" s="6">
        <v>9121314</v>
      </c>
      <c r="D140" s="6">
        <v>214132</v>
      </c>
      <c r="E140" s="6">
        <v>6768536</v>
      </c>
      <c r="F140" s="6"/>
      <c r="G140" s="7">
        <f t="shared" si="8"/>
        <v>2138646</v>
      </c>
      <c r="H140" s="12">
        <f t="shared" si="9"/>
        <v>2.3476003567029924</v>
      </c>
      <c r="I140" s="12">
        <f t="shared" si="10"/>
        <v>74.205712027894222</v>
      </c>
      <c r="J140">
        <f t="shared" si="11"/>
        <v>39196</v>
      </c>
      <c r="M140" s="5" t="s">
        <v>30</v>
      </c>
      <c r="N140" s="7">
        <v>2138646</v>
      </c>
    </row>
    <row r="141" spans="1:14" x14ac:dyDescent="0.3">
      <c r="A141" s="5" t="s">
        <v>30</v>
      </c>
      <c r="B141" s="6" t="s">
        <v>8</v>
      </c>
      <c r="C141" s="6">
        <v>9123862</v>
      </c>
      <c r="D141" s="6">
        <v>196924</v>
      </c>
      <c r="E141" s="6">
        <v>7834586</v>
      </c>
      <c r="F141" s="6"/>
      <c r="G141" s="7">
        <f t="shared" si="8"/>
        <v>1092352</v>
      </c>
      <c r="H141" s="12">
        <f t="shared" si="9"/>
        <v>2.158340404534834</v>
      </c>
      <c r="I141" s="12">
        <f t="shared" si="10"/>
        <v>85.869185658441566</v>
      </c>
      <c r="J141">
        <f t="shared" si="11"/>
        <v>2548</v>
      </c>
      <c r="M141" s="5" t="s">
        <v>30</v>
      </c>
      <c r="N141" s="7">
        <v>1092352</v>
      </c>
    </row>
    <row r="142" spans="1:14" x14ac:dyDescent="0.3">
      <c r="A142" s="5" t="s">
        <v>30</v>
      </c>
      <c r="B142" s="6" t="s">
        <v>8</v>
      </c>
      <c r="C142" s="6">
        <v>9146699</v>
      </c>
      <c r="D142" s="6">
        <v>170871</v>
      </c>
      <c r="E142" s="6">
        <v>6992052</v>
      </c>
      <c r="F142" s="6"/>
      <c r="G142" s="7">
        <f t="shared" si="8"/>
        <v>1983776</v>
      </c>
      <c r="H142" s="12">
        <f t="shared" si="9"/>
        <v>1.8681165740777081</v>
      </c>
      <c r="I142" s="12">
        <f t="shared" si="10"/>
        <v>76.443446974695462</v>
      </c>
      <c r="J142">
        <f t="shared" si="11"/>
        <v>22837</v>
      </c>
      <c r="M142" s="5" t="s">
        <v>30</v>
      </c>
      <c r="N142" s="7">
        <v>1983776</v>
      </c>
    </row>
    <row r="143" spans="1:14" x14ac:dyDescent="0.3">
      <c r="A143" s="5" t="s">
        <v>30</v>
      </c>
      <c r="B143" s="6" t="s">
        <v>8</v>
      </c>
      <c r="C143" s="6">
        <v>9158409</v>
      </c>
      <c r="D143" s="6">
        <v>184343</v>
      </c>
      <c r="E143" s="6">
        <v>6851134</v>
      </c>
      <c r="F143" s="6"/>
      <c r="G143" s="7">
        <f t="shared" si="8"/>
        <v>2122932</v>
      </c>
      <c r="H143" s="12">
        <f t="shared" si="9"/>
        <v>2.0128277739070182</v>
      </c>
      <c r="I143" s="12">
        <f t="shared" si="10"/>
        <v>74.80703253152376</v>
      </c>
      <c r="J143">
        <f t="shared" si="11"/>
        <v>11710</v>
      </c>
      <c r="M143" s="5" t="s">
        <v>30</v>
      </c>
      <c r="N143" s="7">
        <v>2122932</v>
      </c>
    </row>
    <row r="144" spans="1:14" x14ac:dyDescent="0.3">
      <c r="A144" s="5" t="s">
        <v>30</v>
      </c>
      <c r="B144" s="6" t="s">
        <v>8</v>
      </c>
      <c r="C144" s="6">
        <v>9188928</v>
      </c>
      <c r="D144" s="6">
        <v>187939</v>
      </c>
      <c r="E144" s="6">
        <v>6881868</v>
      </c>
      <c r="F144" s="6"/>
      <c r="G144" s="7">
        <f t="shared" si="8"/>
        <v>2119121</v>
      </c>
      <c r="H144" s="12">
        <f t="shared" si="9"/>
        <v>2.0452766633931621</v>
      </c>
      <c r="I144" s="12">
        <f t="shared" si="10"/>
        <v>74.893045195261081</v>
      </c>
      <c r="J144">
        <f t="shared" si="11"/>
        <v>30519</v>
      </c>
      <c r="M144" s="5" t="s">
        <v>30</v>
      </c>
      <c r="N144" s="7">
        <v>2119121</v>
      </c>
    </row>
    <row r="145" spans="1:14" x14ac:dyDescent="0.3">
      <c r="A145" s="5" t="s">
        <v>30</v>
      </c>
      <c r="B145" s="6" t="s">
        <v>8</v>
      </c>
      <c r="C145" s="6">
        <v>9197350</v>
      </c>
      <c r="D145" s="6">
        <v>136971</v>
      </c>
      <c r="E145" s="6">
        <v>7872037</v>
      </c>
      <c r="F145" s="6"/>
      <c r="G145" s="7">
        <f t="shared" si="8"/>
        <v>1188342</v>
      </c>
      <c r="H145" s="12">
        <f t="shared" si="9"/>
        <v>1.4892441844661777</v>
      </c>
      <c r="I145" s="12">
        <f t="shared" si="10"/>
        <v>85.590273285239775</v>
      </c>
      <c r="J145">
        <f t="shared" si="11"/>
        <v>8422</v>
      </c>
      <c r="M145" s="5" t="s">
        <v>30</v>
      </c>
      <c r="N145" s="7">
        <v>1188342</v>
      </c>
    </row>
    <row r="146" spans="1:14" x14ac:dyDescent="0.3">
      <c r="A146" s="5" t="s">
        <v>31</v>
      </c>
      <c r="B146" s="6" t="s">
        <v>8</v>
      </c>
      <c r="C146" s="6">
        <v>9199984</v>
      </c>
      <c r="D146" s="6">
        <v>213084</v>
      </c>
      <c r="E146" s="6">
        <v>7627347</v>
      </c>
      <c r="F146" s="6"/>
      <c r="G146" s="7">
        <f t="shared" si="8"/>
        <v>1359553</v>
      </c>
      <c r="H146" s="12">
        <f t="shared" si="9"/>
        <v>2.3161344628425442</v>
      </c>
      <c r="I146" s="12">
        <f t="shared" si="10"/>
        <v>82.906089836677978</v>
      </c>
      <c r="J146">
        <f t="shared" si="11"/>
        <v>2634</v>
      </c>
      <c r="M146" s="5" t="s">
        <v>31</v>
      </c>
      <c r="N146" s="7">
        <v>1359553</v>
      </c>
    </row>
    <row r="147" spans="1:14" x14ac:dyDescent="0.3">
      <c r="A147" s="5" t="s">
        <v>31</v>
      </c>
      <c r="B147" s="6" t="s">
        <v>8</v>
      </c>
      <c r="C147" s="6">
        <v>9212943</v>
      </c>
      <c r="D147" s="6">
        <v>240149</v>
      </c>
      <c r="E147" s="6">
        <v>6869914</v>
      </c>
      <c r="F147" s="6"/>
      <c r="G147" s="7">
        <f t="shared" si="8"/>
        <v>2102880</v>
      </c>
      <c r="H147" s="12">
        <f t="shared" si="9"/>
        <v>2.6066480602343898</v>
      </c>
      <c r="I147" s="12">
        <f t="shared" si="10"/>
        <v>74.56807233041603</v>
      </c>
      <c r="J147">
        <f t="shared" si="11"/>
        <v>12959</v>
      </c>
      <c r="M147" s="5" t="s">
        <v>31</v>
      </c>
      <c r="N147" s="7">
        <v>2102880</v>
      </c>
    </row>
    <row r="148" spans="1:14" x14ac:dyDescent="0.3">
      <c r="A148" s="5" t="s">
        <v>31</v>
      </c>
      <c r="B148" s="6" t="s">
        <v>8</v>
      </c>
      <c r="C148" s="6">
        <v>9215752</v>
      </c>
      <c r="D148" s="6">
        <v>94154</v>
      </c>
      <c r="E148" s="6">
        <v>7075423</v>
      </c>
      <c r="F148" s="6"/>
      <c r="G148" s="7">
        <f t="shared" si="8"/>
        <v>2046175</v>
      </c>
      <c r="H148" s="12">
        <f t="shared" si="9"/>
        <v>1.0216637774106769</v>
      </c>
      <c r="I148" s="12">
        <f t="shared" si="10"/>
        <v>76.775319040703351</v>
      </c>
      <c r="J148">
        <f t="shared" si="11"/>
        <v>2809</v>
      </c>
      <c r="M148" s="5" t="s">
        <v>31</v>
      </c>
      <c r="N148" s="7">
        <v>2046175</v>
      </c>
    </row>
    <row r="149" spans="1:14" x14ac:dyDescent="0.3">
      <c r="A149" s="5" t="s">
        <v>31</v>
      </c>
      <c r="B149" s="6" t="s">
        <v>8</v>
      </c>
      <c r="C149" s="6">
        <v>9257956</v>
      </c>
      <c r="D149" s="6">
        <v>270882</v>
      </c>
      <c r="E149" s="6">
        <v>7837135</v>
      </c>
      <c r="F149" s="6"/>
      <c r="G149" s="7">
        <f t="shared" si="8"/>
        <v>1149939</v>
      </c>
      <c r="H149" s="12">
        <f t="shared" si="9"/>
        <v>2.9259374315453646</v>
      </c>
      <c r="I149" s="12">
        <f t="shared" si="10"/>
        <v>84.652973075266289</v>
      </c>
      <c r="J149">
        <f t="shared" si="11"/>
        <v>42204</v>
      </c>
      <c r="M149" s="5" t="s">
        <v>31</v>
      </c>
      <c r="N149" s="7">
        <v>1149939</v>
      </c>
    </row>
    <row r="150" spans="1:14" x14ac:dyDescent="0.3">
      <c r="A150" s="5" t="s">
        <v>31</v>
      </c>
      <c r="B150" s="6" t="s">
        <v>8</v>
      </c>
      <c r="C150" s="6">
        <v>9293500</v>
      </c>
      <c r="D150" s="6">
        <v>93803</v>
      </c>
      <c r="E150" s="6">
        <v>6934179</v>
      </c>
      <c r="F150" s="6"/>
      <c r="G150" s="7">
        <f t="shared" si="8"/>
        <v>2265518</v>
      </c>
      <c r="H150" s="12">
        <f t="shared" si="9"/>
        <v>1.0093398611933071</v>
      </c>
      <c r="I150" s="12">
        <f t="shared" si="10"/>
        <v>74.613213536342599</v>
      </c>
      <c r="J150">
        <f t="shared" si="11"/>
        <v>35544</v>
      </c>
      <c r="M150" s="5" t="s">
        <v>31</v>
      </c>
      <c r="N150" s="7">
        <v>2265518</v>
      </c>
    </row>
    <row r="151" spans="1:14" x14ac:dyDescent="0.3">
      <c r="A151" s="5" t="s">
        <v>31</v>
      </c>
      <c r="B151" s="6" t="s">
        <v>8</v>
      </c>
      <c r="C151" s="6">
        <v>9310373</v>
      </c>
      <c r="D151" s="6">
        <v>156064</v>
      </c>
      <c r="E151" s="6">
        <v>7692701</v>
      </c>
      <c r="F151" s="6"/>
      <c r="G151" s="7">
        <f t="shared" si="8"/>
        <v>1461608</v>
      </c>
      <c r="H151" s="12">
        <f t="shared" si="9"/>
        <v>1.6762378907912712</v>
      </c>
      <c r="I151" s="12">
        <f t="shared" si="10"/>
        <v>82.625057019734868</v>
      </c>
      <c r="J151">
        <f t="shared" si="11"/>
        <v>16873</v>
      </c>
      <c r="M151" s="5" t="s">
        <v>31</v>
      </c>
      <c r="N151" s="7">
        <v>1461608</v>
      </c>
    </row>
    <row r="152" spans="1:14" x14ac:dyDescent="0.3">
      <c r="A152" s="5" t="s">
        <v>31</v>
      </c>
      <c r="B152" s="6" t="s">
        <v>11</v>
      </c>
      <c r="C152" s="6">
        <v>15627761</v>
      </c>
      <c r="D152" s="6">
        <v>317297</v>
      </c>
      <c r="E152" s="6">
        <v>11645050</v>
      </c>
      <c r="F152" s="6"/>
      <c r="G152" s="7">
        <f t="shared" si="8"/>
        <v>3665414</v>
      </c>
      <c r="H152" s="12">
        <f t="shared" si="9"/>
        <v>2.0303420304418527</v>
      </c>
      <c r="I152" s="12">
        <f t="shared" si="10"/>
        <v>74.515152874426477</v>
      </c>
      <c r="J152" t="str">
        <f t="shared" si="11"/>
        <v/>
      </c>
      <c r="M152" s="5" t="s">
        <v>31</v>
      </c>
      <c r="N152" s="7">
        <v>3665414</v>
      </c>
    </row>
    <row r="153" spans="1:14" x14ac:dyDescent="0.3">
      <c r="A153" s="5" t="s">
        <v>31</v>
      </c>
      <c r="B153" s="6" t="s">
        <v>11</v>
      </c>
      <c r="C153" s="6">
        <v>15638189</v>
      </c>
      <c r="D153" s="6">
        <v>359515</v>
      </c>
      <c r="E153" s="6">
        <v>12692496</v>
      </c>
      <c r="F153" s="6"/>
      <c r="G153" s="7">
        <f t="shared" si="8"/>
        <v>2586178</v>
      </c>
      <c r="H153" s="12">
        <f t="shared" si="9"/>
        <v>2.2989554608912837</v>
      </c>
      <c r="I153" s="12">
        <f t="shared" si="10"/>
        <v>81.163464644147737</v>
      </c>
      <c r="J153">
        <f t="shared" si="11"/>
        <v>10428</v>
      </c>
      <c r="M153" s="5" t="s">
        <v>31</v>
      </c>
      <c r="N153" s="7">
        <v>2586178</v>
      </c>
    </row>
    <row r="154" spans="1:14" x14ac:dyDescent="0.3">
      <c r="A154" s="5" t="s">
        <v>32</v>
      </c>
      <c r="B154" s="6" t="s">
        <v>11</v>
      </c>
      <c r="C154" s="6">
        <v>15671786</v>
      </c>
      <c r="D154" s="6">
        <v>399127</v>
      </c>
      <c r="E154" s="6">
        <v>11123883</v>
      </c>
      <c r="F154" s="6"/>
      <c r="G154" s="7">
        <f t="shared" si="8"/>
        <v>4148776</v>
      </c>
      <c r="H154" s="12">
        <f t="shared" si="9"/>
        <v>2.546786945661458</v>
      </c>
      <c r="I154" s="12">
        <f t="shared" si="10"/>
        <v>70.980314560191161</v>
      </c>
      <c r="J154">
        <f t="shared" si="11"/>
        <v>33597</v>
      </c>
      <c r="M154" s="5" t="s">
        <v>32</v>
      </c>
      <c r="N154" s="7">
        <v>4148776</v>
      </c>
    </row>
    <row r="155" spans="1:14" x14ac:dyDescent="0.3">
      <c r="A155" s="5" t="s">
        <v>32</v>
      </c>
      <c r="B155" s="6" t="s">
        <v>11</v>
      </c>
      <c r="C155" s="6">
        <v>15688110</v>
      </c>
      <c r="D155" s="6">
        <v>418568</v>
      </c>
      <c r="E155" s="6">
        <v>12099158</v>
      </c>
      <c r="F155" s="6"/>
      <c r="G155" s="7">
        <f t="shared" si="8"/>
        <v>3170384</v>
      </c>
      <c r="H155" s="12">
        <f t="shared" si="9"/>
        <v>2.6680588037692239</v>
      </c>
      <c r="I155" s="12">
        <f t="shared" si="10"/>
        <v>77.123107882338914</v>
      </c>
      <c r="J155">
        <f t="shared" si="11"/>
        <v>16324</v>
      </c>
      <c r="M155" s="5" t="s">
        <v>32</v>
      </c>
      <c r="N155" s="7">
        <v>3170384</v>
      </c>
    </row>
    <row r="156" spans="1:14" x14ac:dyDescent="0.3">
      <c r="A156" s="5" t="s">
        <v>32</v>
      </c>
      <c r="B156" s="6" t="s">
        <v>11</v>
      </c>
      <c r="C156" s="6">
        <v>15729369</v>
      </c>
      <c r="D156" s="6">
        <v>376310</v>
      </c>
      <c r="E156" s="6">
        <v>13866667</v>
      </c>
      <c r="F156" s="6"/>
      <c r="G156" s="7">
        <f t="shared" si="8"/>
        <v>1486392</v>
      </c>
      <c r="H156" s="12">
        <f t="shared" si="9"/>
        <v>2.3924036622193809</v>
      </c>
      <c r="I156" s="12">
        <f t="shared" si="10"/>
        <v>88.157808491872743</v>
      </c>
      <c r="J156">
        <f t="shared" si="11"/>
        <v>41259</v>
      </c>
      <c r="M156" s="5" t="s">
        <v>32</v>
      </c>
      <c r="N156" s="7">
        <v>1486392</v>
      </c>
    </row>
    <row r="157" spans="1:14" x14ac:dyDescent="0.3">
      <c r="A157" s="5" t="s">
        <v>32</v>
      </c>
      <c r="B157" s="6" t="s">
        <v>11</v>
      </c>
      <c r="C157" s="6">
        <v>15777924</v>
      </c>
      <c r="D157" s="6">
        <v>182358</v>
      </c>
      <c r="E157" s="6">
        <v>12949637</v>
      </c>
      <c r="F157" s="6"/>
      <c r="G157" s="7">
        <f t="shared" si="8"/>
        <v>2645929</v>
      </c>
      <c r="H157" s="12">
        <f t="shared" si="9"/>
        <v>1.1557794295371178</v>
      </c>
      <c r="I157" s="12">
        <f t="shared" si="10"/>
        <v>82.074403451303226</v>
      </c>
      <c r="J157">
        <f t="shared" si="11"/>
        <v>48555</v>
      </c>
      <c r="M157" s="5" t="s">
        <v>32</v>
      </c>
      <c r="N157" s="7">
        <v>2645929</v>
      </c>
    </row>
    <row r="158" spans="1:14" x14ac:dyDescent="0.3">
      <c r="A158" s="5" t="s">
        <v>32</v>
      </c>
      <c r="B158" s="6" t="s">
        <v>11</v>
      </c>
      <c r="C158" s="6">
        <v>15825457</v>
      </c>
      <c r="D158" s="6">
        <v>383273</v>
      </c>
      <c r="E158" s="6">
        <v>13084979</v>
      </c>
      <c r="F158" s="6"/>
      <c r="G158" s="7">
        <f t="shared" si="8"/>
        <v>2357205</v>
      </c>
      <c r="H158" s="12">
        <f t="shared" si="9"/>
        <v>2.4218763477098957</v>
      </c>
      <c r="I158" s="12">
        <f t="shared" si="10"/>
        <v>82.683103559031508</v>
      </c>
      <c r="J158">
        <f t="shared" si="11"/>
        <v>47533</v>
      </c>
      <c r="M158" s="5" t="s">
        <v>32</v>
      </c>
      <c r="N158" s="7">
        <v>2357205</v>
      </c>
    </row>
    <row r="159" spans="1:14" x14ac:dyDescent="0.3">
      <c r="A159" s="5" t="s">
        <v>32</v>
      </c>
      <c r="B159" s="6" t="s">
        <v>11</v>
      </c>
      <c r="C159" s="6">
        <v>15850871</v>
      </c>
      <c r="D159" s="6">
        <v>192578</v>
      </c>
      <c r="E159" s="6">
        <v>11409804</v>
      </c>
      <c r="F159" s="6"/>
      <c r="G159" s="7">
        <f t="shared" si="8"/>
        <v>4248489</v>
      </c>
      <c r="H159" s="12">
        <f t="shared" si="9"/>
        <v>1.2149363905617554</v>
      </c>
      <c r="I159" s="12">
        <f t="shared" si="10"/>
        <v>71.982189496085098</v>
      </c>
      <c r="J159">
        <f t="shared" si="11"/>
        <v>25414</v>
      </c>
      <c r="M159" s="5" t="s">
        <v>32</v>
      </c>
      <c r="N159" s="7">
        <v>4248489</v>
      </c>
    </row>
    <row r="160" spans="1:14" x14ac:dyDescent="0.3">
      <c r="A160" s="5" t="s">
        <v>32</v>
      </c>
      <c r="B160" s="6" t="s">
        <v>11</v>
      </c>
      <c r="C160" s="6">
        <v>15878269</v>
      </c>
      <c r="D160" s="6">
        <v>404463</v>
      </c>
      <c r="E160" s="6">
        <v>12214698</v>
      </c>
      <c r="F160" s="6"/>
      <c r="G160" s="7">
        <f t="shared" si="8"/>
        <v>3259108</v>
      </c>
      <c r="H160" s="12">
        <f t="shared" si="9"/>
        <v>2.5472738873488039</v>
      </c>
      <c r="I160" s="12">
        <f t="shared" si="10"/>
        <v>76.927138594263639</v>
      </c>
      <c r="J160">
        <f t="shared" si="11"/>
        <v>27398</v>
      </c>
      <c r="M160" s="5" t="s">
        <v>32</v>
      </c>
      <c r="N160" s="7">
        <v>3259108</v>
      </c>
    </row>
    <row r="161" spans="1:14" x14ac:dyDescent="0.3">
      <c r="A161" s="5" t="s">
        <v>32</v>
      </c>
      <c r="B161" s="6" t="s">
        <v>11</v>
      </c>
      <c r="C161" s="6">
        <v>15888998</v>
      </c>
      <c r="D161" s="6">
        <v>369742</v>
      </c>
      <c r="E161" s="6">
        <v>12090207</v>
      </c>
      <c r="F161" s="6"/>
      <c r="G161" s="7">
        <f t="shared" si="8"/>
        <v>3429049</v>
      </c>
      <c r="H161" s="12">
        <f t="shared" si="9"/>
        <v>2.3270315724125585</v>
      </c>
      <c r="I161" s="12">
        <f t="shared" si="10"/>
        <v>76.091689356370992</v>
      </c>
      <c r="J161">
        <f t="shared" si="11"/>
        <v>10729</v>
      </c>
      <c r="M161" s="5" t="s">
        <v>32</v>
      </c>
      <c r="N161" s="7">
        <v>3429049</v>
      </c>
    </row>
    <row r="162" spans="1:14" x14ac:dyDescent="0.3">
      <c r="A162" s="5" t="s">
        <v>33</v>
      </c>
      <c r="B162" s="6" t="s">
        <v>11</v>
      </c>
      <c r="C162" s="6">
        <v>15920553</v>
      </c>
      <c r="D162" s="6">
        <v>317395</v>
      </c>
      <c r="E162" s="6">
        <v>14228378</v>
      </c>
      <c r="F162" s="6"/>
      <c r="G162" s="7">
        <f t="shared" si="8"/>
        <v>1374780</v>
      </c>
      <c r="H162" s="12">
        <f t="shared" si="9"/>
        <v>1.9936179352563945</v>
      </c>
      <c r="I162" s="12">
        <f t="shared" si="10"/>
        <v>89.371129256628208</v>
      </c>
      <c r="J162">
        <f t="shared" si="11"/>
        <v>31555</v>
      </c>
      <c r="M162" s="5" t="s">
        <v>33</v>
      </c>
      <c r="N162" s="7">
        <v>1374780</v>
      </c>
    </row>
    <row r="163" spans="1:14" x14ac:dyDescent="0.3">
      <c r="A163" s="5" t="s">
        <v>33</v>
      </c>
      <c r="B163" s="6" t="s">
        <v>11</v>
      </c>
      <c r="C163" s="6">
        <v>15958590</v>
      </c>
      <c r="D163" s="6">
        <v>386975</v>
      </c>
      <c r="E163" s="6">
        <v>14091396</v>
      </c>
      <c r="F163" s="6"/>
      <c r="G163" s="7">
        <f t="shared" si="8"/>
        <v>1480219</v>
      </c>
      <c r="H163" s="12">
        <f t="shared" si="9"/>
        <v>2.4248696156740666</v>
      </c>
      <c r="I163" s="12">
        <f t="shared" si="10"/>
        <v>88.299755805494101</v>
      </c>
      <c r="J163">
        <f t="shared" si="11"/>
        <v>38037</v>
      </c>
      <c r="M163" s="5" t="s">
        <v>33</v>
      </c>
      <c r="N163" s="7">
        <v>1480219</v>
      </c>
    </row>
    <row r="164" spans="1:14" x14ac:dyDescent="0.3">
      <c r="A164" s="5" t="s">
        <v>33</v>
      </c>
      <c r="B164" s="6" t="s">
        <v>11</v>
      </c>
      <c r="C164" s="6">
        <v>15984763</v>
      </c>
      <c r="D164" s="6">
        <v>463692</v>
      </c>
      <c r="E164" s="6">
        <v>11310998</v>
      </c>
      <c r="F164" s="6"/>
      <c r="G164" s="7">
        <f t="shared" si="8"/>
        <v>4210073</v>
      </c>
      <c r="H164" s="12">
        <f t="shared" si="9"/>
        <v>2.9008375038153522</v>
      </c>
      <c r="I164" s="12">
        <f t="shared" si="10"/>
        <v>70.761124203092663</v>
      </c>
      <c r="J164">
        <f t="shared" si="11"/>
        <v>26173</v>
      </c>
      <c r="M164" s="5" t="s">
        <v>33</v>
      </c>
      <c r="N164" s="7">
        <v>4210073</v>
      </c>
    </row>
    <row r="165" spans="1:14" x14ac:dyDescent="0.3">
      <c r="A165" s="5" t="s">
        <v>33</v>
      </c>
      <c r="B165" s="6" t="s">
        <v>11</v>
      </c>
      <c r="C165" s="6">
        <v>16007700</v>
      </c>
      <c r="D165" s="6">
        <v>465878</v>
      </c>
      <c r="E165" s="6">
        <v>11635138</v>
      </c>
      <c r="F165" s="6"/>
      <c r="G165" s="7">
        <f t="shared" si="8"/>
        <v>3906684</v>
      </c>
      <c r="H165" s="12">
        <f t="shared" si="9"/>
        <v>2.9103369003666986</v>
      </c>
      <c r="I165" s="12">
        <f t="shared" si="10"/>
        <v>72.684633020358959</v>
      </c>
      <c r="J165">
        <f t="shared" si="11"/>
        <v>22937</v>
      </c>
      <c r="M165" s="5" t="s">
        <v>33</v>
      </c>
      <c r="N165" s="7">
        <v>3906684</v>
      </c>
    </row>
    <row r="166" spans="1:14" x14ac:dyDescent="0.3">
      <c r="A166" s="5" t="s">
        <v>33</v>
      </c>
      <c r="B166" s="6" t="s">
        <v>11</v>
      </c>
      <c r="C166" s="6">
        <v>16011253</v>
      </c>
      <c r="D166" s="6">
        <v>206167</v>
      </c>
      <c r="E166" s="6">
        <v>11369882</v>
      </c>
      <c r="F166" s="6"/>
      <c r="G166" s="7">
        <f t="shared" si="8"/>
        <v>4435204</v>
      </c>
      <c r="H166" s="12">
        <f t="shared" si="9"/>
        <v>1.2876381380020663</v>
      </c>
      <c r="I166" s="12">
        <f t="shared" si="10"/>
        <v>71.011819000049528</v>
      </c>
      <c r="J166">
        <f t="shared" si="11"/>
        <v>3553</v>
      </c>
      <c r="M166" s="5" t="s">
        <v>33</v>
      </c>
      <c r="N166" s="7">
        <v>4435204</v>
      </c>
    </row>
    <row r="167" spans="1:14" x14ac:dyDescent="0.3">
      <c r="A167" s="5" t="s">
        <v>33</v>
      </c>
      <c r="B167" s="6" t="s">
        <v>11</v>
      </c>
      <c r="C167" s="6">
        <v>16026914</v>
      </c>
      <c r="D167" s="6">
        <v>413293</v>
      </c>
      <c r="E167" s="6">
        <v>12768818</v>
      </c>
      <c r="F167" s="6"/>
      <c r="G167" s="7">
        <f t="shared" si="8"/>
        <v>2844803</v>
      </c>
      <c r="H167" s="12">
        <f t="shared" si="9"/>
        <v>2.5787434811218182</v>
      </c>
      <c r="I167" s="12">
        <f t="shared" si="10"/>
        <v>79.671095758047997</v>
      </c>
      <c r="J167">
        <f t="shared" si="11"/>
        <v>15661</v>
      </c>
      <c r="M167" s="5" t="s">
        <v>33</v>
      </c>
      <c r="N167" s="7">
        <v>2844803</v>
      </c>
    </row>
    <row r="168" spans="1:14" x14ac:dyDescent="0.3">
      <c r="A168" s="5" t="s">
        <v>33</v>
      </c>
      <c r="B168" s="6" t="s">
        <v>11</v>
      </c>
      <c r="C168" s="6">
        <v>16066278</v>
      </c>
      <c r="D168" s="6">
        <v>241952</v>
      </c>
      <c r="E168" s="6">
        <v>11860154</v>
      </c>
      <c r="F168" s="6"/>
      <c r="G168" s="7">
        <f t="shared" si="8"/>
        <v>3964172</v>
      </c>
      <c r="H168" s="12">
        <f t="shared" si="9"/>
        <v>1.5059617417301008</v>
      </c>
      <c r="I168" s="12">
        <f t="shared" si="10"/>
        <v>73.820171666393421</v>
      </c>
      <c r="J168">
        <f t="shared" si="11"/>
        <v>39364</v>
      </c>
      <c r="M168" s="5" t="s">
        <v>33</v>
      </c>
      <c r="N168" s="7">
        <v>3964172</v>
      </c>
    </row>
    <row r="169" spans="1:14" x14ac:dyDescent="0.3">
      <c r="A169" s="5" t="s">
        <v>33</v>
      </c>
      <c r="B169" s="6" t="s">
        <v>11</v>
      </c>
      <c r="C169" s="6">
        <v>16086499</v>
      </c>
      <c r="D169" s="6">
        <v>441470</v>
      </c>
      <c r="E169" s="6">
        <v>11936266</v>
      </c>
      <c r="F169" s="6"/>
      <c r="G169" s="7">
        <f t="shared" si="8"/>
        <v>3708763</v>
      </c>
      <c r="H169" s="12">
        <f t="shared" si="9"/>
        <v>2.7443510237995228</v>
      </c>
      <c r="I169" s="12">
        <f t="shared" si="10"/>
        <v>74.200520573183752</v>
      </c>
      <c r="J169">
        <f t="shared" si="11"/>
        <v>20221</v>
      </c>
      <c r="M169" s="5" t="s">
        <v>33</v>
      </c>
      <c r="N169" s="7">
        <v>3708763</v>
      </c>
    </row>
    <row r="170" spans="1:14" x14ac:dyDescent="0.3">
      <c r="A170" s="5" t="s">
        <v>34</v>
      </c>
      <c r="B170" s="6" t="s">
        <v>11</v>
      </c>
      <c r="C170" s="6">
        <v>16126561</v>
      </c>
      <c r="D170" s="6">
        <v>307940</v>
      </c>
      <c r="E170" s="6">
        <v>13612532</v>
      </c>
      <c r="F170" s="6"/>
      <c r="G170" s="7">
        <f t="shared" si="8"/>
        <v>2206089</v>
      </c>
      <c r="H170" s="12">
        <f t="shared" si="9"/>
        <v>1.9095205729231421</v>
      </c>
      <c r="I170" s="12">
        <f t="shared" si="10"/>
        <v>84.410631628156807</v>
      </c>
      <c r="J170">
        <f t="shared" si="11"/>
        <v>40062</v>
      </c>
      <c r="M170" s="5" t="s">
        <v>34</v>
      </c>
      <c r="N170" s="7">
        <v>2206089</v>
      </c>
    </row>
    <row r="171" spans="1:14" x14ac:dyDescent="0.3">
      <c r="A171" s="5" t="s">
        <v>34</v>
      </c>
      <c r="B171" s="6" t="s">
        <v>11</v>
      </c>
      <c r="C171" s="6">
        <v>16156020</v>
      </c>
      <c r="D171" s="6">
        <v>206748</v>
      </c>
      <c r="E171" s="6">
        <v>13108684</v>
      </c>
      <c r="F171" s="6"/>
      <c r="G171" s="7">
        <f t="shared" si="8"/>
        <v>2840588</v>
      </c>
      <c r="H171" s="12">
        <f t="shared" si="9"/>
        <v>1.2796963608611527</v>
      </c>
      <c r="I171" s="12">
        <f t="shared" si="10"/>
        <v>81.138077323499232</v>
      </c>
      <c r="J171">
        <f t="shared" si="11"/>
        <v>29459</v>
      </c>
      <c r="M171" s="5" t="s">
        <v>34</v>
      </c>
      <c r="N171" s="7">
        <v>2840588</v>
      </c>
    </row>
    <row r="172" spans="1:14" x14ac:dyDescent="0.3">
      <c r="A172" s="5" t="s">
        <v>34</v>
      </c>
      <c r="B172" s="6" t="s">
        <v>11</v>
      </c>
      <c r="C172" s="6">
        <v>16160673</v>
      </c>
      <c r="D172" s="6">
        <v>240933</v>
      </c>
      <c r="E172" s="6">
        <v>11654401</v>
      </c>
      <c r="F172" s="6"/>
      <c r="G172" s="7">
        <f t="shared" si="8"/>
        <v>4265339</v>
      </c>
      <c r="H172" s="12">
        <f t="shared" si="9"/>
        <v>1.4908599412908115</v>
      </c>
      <c r="I172" s="12">
        <f t="shared" si="10"/>
        <v>72.115814731230572</v>
      </c>
      <c r="J172">
        <f t="shared" si="11"/>
        <v>4653</v>
      </c>
      <c r="M172" s="5" t="s">
        <v>34</v>
      </c>
      <c r="N172" s="7">
        <v>4265339</v>
      </c>
    </row>
    <row r="173" spans="1:14" x14ac:dyDescent="0.3">
      <c r="A173" s="5" t="s">
        <v>34</v>
      </c>
      <c r="B173" s="6" t="s">
        <v>11</v>
      </c>
      <c r="C173" s="6">
        <v>16173583</v>
      </c>
      <c r="D173" s="6">
        <v>441664</v>
      </c>
      <c r="E173" s="6">
        <v>14287996</v>
      </c>
      <c r="F173" s="6"/>
      <c r="G173" s="7">
        <f t="shared" si="8"/>
        <v>1443923</v>
      </c>
      <c r="H173" s="12">
        <f t="shared" si="9"/>
        <v>2.7307740035093029</v>
      </c>
      <c r="I173" s="12">
        <f t="shared" si="10"/>
        <v>88.341562905387136</v>
      </c>
      <c r="J173">
        <f t="shared" si="11"/>
        <v>12910</v>
      </c>
      <c r="M173" s="5" t="s">
        <v>34</v>
      </c>
      <c r="N173" s="7">
        <v>1443923</v>
      </c>
    </row>
    <row r="174" spans="1:14" x14ac:dyDescent="0.3">
      <c r="A174" s="5" t="s">
        <v>34</v>
      </c>
      <c r="B174" s="6" t="s">
        <v>11</v>
      </c>
      <c r="C174" s="6">
        <v>16195583</v>
      </c>
      <c r="D174" s="6">
        <v>183704</v>
      </c>
      <c r="E174" s="6">
        <v>13635010</v>
      </c>
      <c r="F174" s="6"/>
      <c r="G174" s="7">
        <f t="shared" si="8"/>
        <v>2376869</v>
      </c>
      <c r="H174" s="12">
        <f t="shared" si="9"/>
        <v>1.1342845762329148</v>
      </c>
      <c r="I174" s="12">
        <f t="shared" si="10"/>
        <v>84.189683075934965</v>
      </c>
      <c r="J174">
        <f t="shared" si="11"/>
        <v>22000</v>
      </c>
      <c r="M174" s="5" t="s">
        <v>34</v>
      </c>
      <c r="N174" s="7">
        <v>2376869</v>
      </c>
    </row>
    <row r="175" spans="1:14" x14ac:dyDescent="0.3">
      <c r="A175" s="5" t="s">
        <v>34</v>
      </c>
      <c r="B175" s="6" t="s">
        <v>11</v>
      </c>
      <c r="C175" s="6">
        <v>16232125</v>
      </c>
      <c r="D175" s="6">
        <v>312884</v>
      </c>
      <c r="E175" s="6">
        <v>13149206</v>
      </c>
      <c r="F175" s="6"/>
      <c r="G175" s="7">
        <f t="shared" si="8"/>
        <v>2770035</v>
      </c>
      <c r="H175" s="12">
        <f t="shared" si="9"/>
        <v>1.9275603163479829</v>
      </c>
      <c r="I175" s="12">
        <f t="shared" si="10"/>
        <v>81.007298797908462</v>
      </c>
      <c r="J175">
        <f t="shared" si="11"/>
        <v>36542</v>
      </c>
      <c r="M175" s="5" t="s">
        <v>34</v>
      </c>
      <c r="N175" s="7">
        <v>2770035</v>
      </c>
    </row>
    <row r="176" spans="1:14" x14ac:dyDescent="0.3">
      <c r="A176" s="5" t="s">
        <v>34</v>
      </c>
      <c r="B176" s="6" t="s">
        <v>11</v>
      </c>
      <c r="C176" s="6">
        <v>16248564</v>
      </c>
      <c r="D176" s="6">
        <v>231474</v>
      </c>
      <c r="E176" s="6">
        <v>13317531</v>
      </c>
      <c r="F176" s="6"/>
      <c r="G176" s="7">
        <f t="shared" si="8"/>
        <v>2699559</v>
      </c>
      <c r="H176" s="12">
        <f t="shared" si="9"/>
        <v>1.4245812737667156</v>
      </c>
      <c r="I176" s="12">
        <f t="shared" si="10"/>
        <v>81.961279778323785</v>
      </c>
      <c r="J176">
        <f t="shared" si="11"/>
        <v>16439</v>
      </c>
      <c r="M176" s="5" t="s">
        <v>34</v>
      </c>
      <c r="N176" s="7">
        <v>2699559</v>
      </c>
    </row>
    <row r="177" spans="1:14" x14ac:dyDescent="0.3">
      <c r="A177" s="5" t="s">
        <v>34</v>
      </c>
      <c r="B177" s="6" t="s">
        <v>11</v>
      </c>
      <c r="C177" s="6">
        <v>16265664</v>
      </c>
      <c r="D177" s="6">
        <v>419993</v>
      </c>
      <c r="E177" s="6">
        <v>13511134</v>
      </c>
      <c r="F177" s="6"/>
      <c r="G177" s="7">
        <f t="shared" si="8"/>
        <v>2334537</v>
      </c>
      <c r="H177" s="12">
        <f t="shared" si="9"/>
        <v>2.5820833382516692</v>
      </c>
      <c r="I177" s="12">
        <f t="shared" si="10"/>
        <v>83.06537009494356</v>
      </c>
      <c r="J177">
        <f t="shared" si="11"/>
        <v>17100</v>
      </c>
      <c r="M177" s="5" t="s">
        <v>34</v>
      </c>
      <c r="N177" s="7">
        <v>2334537</v>
      </c>
    </row>
    <row r="178" spans="1:14" x14ac:dyDescent="0.3">
      <c r="A178" s="5" t="s">
        <v>35</v>
      </c>
      <c r="B178" s="6" t="s">
        <v>11</v>
      </c>
      <c r="C178" s="6">
        <v>16276211</v>
      </c>
      <c r="D178" s="6">
        <v>333221</v>
      </c>
      <c r="E178" s="6">
        <v>12534008</v>
      </c>
      <c r="F178" s="6"/>
      <c r="G178" s="7">
        <f t="shared" si="8"/>
        <v>3408982</v>
      </c>
      <c r="H178" s="12">
        <f t="shared" si="9"/>
        <v>2.047288524337759</v>
      </c>
      <c r="I178" s="12">
        <f t="shared" si="10"/>
        <v>77.008143971591423</v>
      </c>
      <c r="J178">
        <f t="shared" si="11"/>
        <v>10547</v>
      </c>
      <c r="M178" s="5" t="s">
        <v>35</v>
      </c>
      <c r="N178" s="7">
        <v>3408982</v>
      </c>
    </row>
    <row r="179" spans="1:14" x14ac:dyDescent="0.3">
      <c r="A179" s="5" t="s">
        <v>35</v>
      </c>
      <c r="B179" s="6" t="s">
        <v>11</v>
      </c>
      <c r="C179" s="6">
        <v>16287232</v>
      </c>
      <c r="D179" s="6">
        <v>385826</v>
      </c>
      <c r="E179" s="6">
        <v>12545306</v>
      </c>
      <c r="F179" s="6"/>
      <c r="G179" s="7">
        <f t="shared" si="8"/>
        <v>3356100</v>
      </c>
      <c r="H179" s="12">
        <f t="shared" si="9"/>
        <v>2.368886253968753</v>
      </c>
      <c r="I179" s="12">
        <f t="shared" si="10"/>
        <v>77.025402474772875</v>
      </c>
      <c r="J179">
        <f t="shared" si="11"/>
        <v>11021</v>
      </c>
      <c r="M179" s="5" t="s">
        <v>35</v>
      </c>
      <c r="N179" s="7">
        <v>3356100</v>
      </c>
    </row>
    <row r="180" spans="1:14" x14ac:dyDescent="0.3">
      <c r="A180" s="5" t="s">
        <v>35</v>
      </c>
      <c r="B180" s="6" t="s">
        <v>11</v>
      </c>
      <c r="C180" s="6">
        <v>16332832</v>
      </c>
      <c r="D180" s="6">
        <v>263788</v>
      </c>
      <c r="E180" s="6">
        <v>14437924</v>
      </c>
      <c r="F180" s="6"/>
      <c r="G180" s="7">
        <f t="shared" si="8"/>
        <v>1631120</v>
      </c>
      <c r="H180" s="12">
        <f t="shared" si="9"/>
        <v>1.6150781444393723</v>
      </c>
      <c r="I180" s="12">
        <f t="shared" si="10"/>
        <v>88.398166343717975</v>
      </c>
      <c r="J180">
        <f t="shared" si="11"/>
        <v>45600</v>
      </c>
      <c r="M180" s="5" t="s">
        <v>35</v>
      </c>
      <c r="N180" s="7">
        <v>1631120</v>
      </c>
    </row>
    <row r="181" spans="1:14" x14ac:dyDescent="0.3">
      <c r="A181" s="5" t="s">
        <v>35</v>
      </c>
      <c r="B181" s="6" t="s">
        <v>11</v>
      </c>
      <c r="C181" s="6">
        <v>16368221</v>
      </c>
      <c r="D181" s="6">
        <v>307636</v>
      </c>
      <c r="E181" s="6">
        <v>11834069</v>
      </c>
      <c r="F181" s="6"/>
      <c r="G181" s="7">
        <f t="shared" si="8"/>
        <v>4226516</v>
      </c>
      <c r="H181" s="12">
        <f t="shared" si="9"/>
        <v>1.8794712021544675</v>
      </c>
      <c r="I181" s="12">
        <f t="shared" si="10"/>
        <v>72.299054368828479</v>
      </c>
      <c r="J181">
        <f t="shared" si="11"/>
        <v>35389</v>
      </c>
      <c r="M181" s="5" t="s">
        <v>35</v>
      </c>
      <c r="N181" s="7">
        <v>4226516</v>
      </c>
    </row>
    <row r="182" spans="1:14" x14ac:dyDescent="0.3">
      <c r="A182" s="5" t="s">
        <v>35</v>
      </c>
      <c r="B182" s="6" t="s">
        <v>11</v>
      </c>
      <c r="C182" s="6">
        <v>16399307</v>
      </c>
      <c r="D182" s="6">
        <v>237365</v>
      </c>
      <c r="E182" s="6">
        <v>11847275</v>
      </c>
      <c r="F182" s="6"/>
      <c r="G182" s="7">
        <f t="shared" si="8"/>
        <v>4314667</v>
      </c>
      <c r="H182" s="12">
        <f t="shared" si="9"/>
        <v>1.4474087228198118</v>
      </c>
      <c r="I182" s="12">
        <f t="shared" si="10"/>
        <v>72.242534394898513</v>
      </c>
      <c r="J182">
        <f t="shared" si="11"/>
        <v>31086</v>
      </c>
      <c r="M182" s="5" t="s">
        <v>35</v>
      </c>
      <c r="N182" s="7">
        <v>4314667</v>
      </c>
    </row>
    <row r="183" spans="1:14" x14ac:dyDescent="0.3">
      <c r="A183" s="5" t="s">
        <v>35</v>
      </c>
      <c r="B183" s="6" t="s">
        <v>11</v>
      </c>
      <c r="C183" s="6">
        <v>16418649</v>
      </c>
      <c r="D183" s="6">
        <v>179108</v>
      </c>
      <c r="E183" s="6">
        <v>12483609</v>
      </c>
      <c r="F183" s="6"/>
      <c r="G183" s="7">
        <f t="shared" si="8"/>
        <v>3755932</v>
      </c>
      <c r="H183" s="12">
        <f t="shared" si="9"/>
        <v>1.0908814726473537</v>
      </c>
      <c r="I183" s="12">
        <f t="shared" si="10"/>
        <v>76.033107230686284</v>
      </c>
      <c r="J183">
        <f t="shared" si="11"/>
        <v>19342</v>
      </c>
      <c r="M183" s="5" t="s">
        <v>35</v>
      </c>
      <c r="N183" s="7">
        <v>3755932</v>
      </c>
    </row>
    <row r="184" spans="1:14" x14ac:dyDescent="0.3">
      <c r="A184" s="5" t="s">
        <v>35</v>
      </c>
      <c r="B184" s="6" t="s">
        <v>11</v>
      </c>
      <c r="C184" s="6">
        <v>16421993</v>
      </c>
      <c r="D184" s="6">
        <v>179236</v>
      </c>
      <c r="E184" s="6">
        <v>11711402</v>
      </c>
      <c r="F184" s="6"/>
      <c r="G184" s="7">
        <f t="shared" si="8"/>
        <v>4531355</v>
      </c>
      <c r="H184" s="12">
        <f t="shared" si="9"/>
        <v>1.0914387796901386</v>
      </c>
      <c r="I184" s="12">
        <f t="shared" si="10"/>
        <v>71.315351309673559</v>
      </c>
      <c r="J184">
        <f t="shared" si="11"/>
        <v>3344</v>
      </c>
      <c r="M184" s="5" t="s">
        <v>35</v>
      </c>
      <c r="N184" s="7">
        <v>4531355</v>
      </c>
    </row>
    <row r="185" spans="1:14" x14ac:dyDescent="0.3">
      <c r="A185" s="5" t="s">
        <v>35</v>
      </c>
      <c r="B185" s="6" t="s">
        <v>11</v>
      </c>
      <c r="C185" s="6">
        <v>16428635</v>
      </c>
      <c r="D185" s="6">
        <v>356164</v>
      </c>
      <c r="E185" s="6">
        <v>13577743</v>
      </c>
      <c r="F185" s="6"/>
      <c r="G185" s="7">
        <f t="shared" si="8"/>
        <v>2494728</v>
      </c>
      <c r="H185" s="12">
        <f t="shared" si="9"/>
        <v>2.1679463935987378</v>
      </c>
      <c r="I185" s="12">
        <f t="shared" si="10"/>
        <v>82.646811497120737</v>
      </c>
      <c r="J185">
        <f t="shared" si="11"/>
        <v>6642</v>
      </c>
      <c r="M185" s="5" t="s">
        <v>35</v>
      </c>
      <c r="N185" s="7">
        <v>2494728</v>
      </c>
    </row>
    <row r="186" spans="1:14" x14ac:dyDescent="0.3">
      <c r="A186" s="5" t="s">
        <v>36</v>
      </c>
      <c r="B186" s="6" t="s">
        <v>11</v>
      </c>
      <c r="C186" s="6">
        <v>16432035</v>
      </c>
      <c r="D186" s="6">
        <v>197664</v>
      </c>
      <c r="E186" s="6">
        <v>14708793</v>
      </c>
      <c r="F186" s="6"/>
      <c r="G186" s="7">
        <f t="shared" si="8"/>
        <v>1525578</v>
      </c>
      <c r="H186" s="12">
        <f t="shared" si="9"/>
        <v>1.2029185672985725</v>
      </c>
      <c r="I186" s="12">
        <f t="shared" si="10"/>
        <v>89.512911821329496</v>
      </c>
      <c r="J186">
        <f t="shared" si="11"/>
        <v>3400</v>
      </c>
      <c r="M186" s="5" t="s">
        <v>36</v>
      </c>
      <c r="N186" s="7">
        <v>1525578</v>
      </c>
    </row>
    <row r="187" spans="1:14" x14ac:dyDescent="0.3">
      <c r="A187" s="5" t="s">
        <v>36</v>
      </c>
      <c r="B187" s="6" t="s">
        <v>11</v>
      </c>
      <c r="C187" s="6">
        <v>16461554</v>
      </c>
      <c r="D187" s="6">
        <v>354057</v>
      </c>
      <c r="E187" s="6">
        <v>14743446</v>
      </c>
      <c r="F187" s="6"/>
      <c r="G187" s="7">
        <f t="shared" si="8"/>
        <v>1364051</v>
      </c>
      <c r="H187" s="12">
        <f t="shared" si="9"/>
        <v>2.1508115211966015</v>
      </c>
      <c r="I187" s="12">
        <f t="shared" si="10"/>
        <v>89.562905178939971</v>
      </c>
      <c r="J187">
        <f t="shared" si="11"/>
        <v>29519</v>
      </c>
      <c r="M187" s="5" t="s">
        <v>36</v>
      </c>
      <c r="N187" s="7">
        <v>1364051</v>
      </c>
    </row>
    <row r="188" spans="1:14" x14ac:dyDescent="0.3">
      <c r="A188" s="5" t="s">
        <v>36</v>
      </c>
      <c r="B188" s="6" t="s">
        <v>11</v>
      </c>
      <c r="C188" s="6">
        <v>16482881</v>
      </c>
      <c r="D188" s="6">
        <v>190550</v>
      </c>
      <c r="E188" s="6">
        <v>12698142</v>
      </c>
      <c r="F188" s="6"/>
      <c r="G188" s="7">
        <f t="shared" si="8"/>
        <v>3594189</v>
      </c>
      <c r="H188" s="12">
        <f t="shared" si="9"/>
        <v>1.1560479020627523</v>
      </c>
      <c r="I188" s="12">
        <f t="shared" si="10"/>
        <v>77.038364834400014</v>
      </c>
      <c r="J188">
        <f t="shared" si="11"/>
        <v>21327</v>
      </c>
      <c r="M188" s="5" t="s">
        <v>36</v>
      </c>
      <c r="N188" s="7">
        <v>3594189</v>
      </c>
    </row>
    <row r="189" spans="1:14" x14ac:dyDescent="0.3">
      <c r="A189" s="5" t="s">
        <v>36</v>
      </c>
      <c r="B189" s="6" t="s">
        <v>11</v>
      </c>
      <c r="C189" s="6">
        <v>16506447</v>
      </c>
      <c r="D189" s="6">
        <v>201135</v>
      </c>
      <c r="E189" s="6">
        <v>13647065</v>
      </c>
      <c r="F189" s="6"/>
      <c r="G189" s="7">
        <f t="shared" si="8"/>
        <v>2658247</v>
      </c>
      <c r="H189" s="12">
        <f t="shared" si="9"/>
        <v>1.218523889483909</v>
      </c>
      <c r="I189" s="12">
        <f t="shared" si="10"/>
        <v>82.677180619184725</v>
      </c>
      <c r="J189">
        <f t="shared" si="11"/>
        <v>23566</v>
      </c>
      <c r="M189" s="5" t="s">
        <v>36</v>
      </c>
      <c r="N189" s="7">
        <v>2658247</v>
      </c>
    </row>
    <row r="190" spans="1:14" x14ac:dyDescent="0.3">
      <c r="A190" s="5" t="s">
        <v>36</v>
      </c>
      <c r="B190" s="6" t="s">
        <v>11</v>
      </c>
      <c r="C190" s="6">
        <v>16530178</v>
      </c>
      <c r="D190" s="6">
        <v>256899</v>
      </c>
      <c r="E190" s="6">
        <v>13709790</v>
      </c>
      <c r="F190" s="6"/>
      <c r="G190" s="7">
        <f t="shared" si="8"/>
        <v>2563489</v>
      </c>
      <c r="H190" s="12">
        <f t="shared" si="9"/>
        <v>1.5541211957911161</v>
      </c>
      <c r="I190" s="12">
        <f t="shared" si="10"/>
        <v>82.937945374816891</v>
      </c>
      <c r="J190">
        <f t="shared" si="11"/>
        <v>23731</v>
      </c>
      <c r="M190" s="5" t="s">
        <v>36</v>
      </c>
      <c r="N190" s="7">
        <v>2563489</v>
      </c>
    </row>
    <row r="191" spans="1:14" x14ac:dyDescent="0.3">
      <c r="A191" s="5" t="s">
        <v>36</v>
      </c>
      <c r="B191" s="6" t="s">
        <v>11</v>
      </c>
      <c r="C191" s="6">
        <v>16546358</v>
      </c>
      <c r="D191" s="6">
        <v>295020</v>
      </c>
      <c r="E191" s="6">
        <v>12708883</v>
      </c>
      <c r="F191" s="6"/>
      <c r="G191" s="7">
        <f t="shared" si="8"/>
        <v>3542455</v>
      </c>
      <c r="H191" s="12">
        <f t="shared" si="9"/>
        <v>1.782990552966399</v>
      </c>
      <c r="I191" s="12">
        <f t="shared" si="10"/>
        <v>76.807736179768384</v>
      </c>
      <c r="J191">
        <f t="shared" si="11"/>
        <v>16180</v>
      </c>
      <c r="M191" s="5" t="s">
        <v>36</v>
      </c>
      <c r="N191" s="7">
        <v>3542455</v>
      </c>
    </row>
    <row r="192" spans="1:14" x14ac:dyDescent="0.3">
      <c r="A192" s="5" t="s">
        <v>36</v>
      </c>
      <c r="B192" s="6" t="s">
        <v>11</v>
      </c>
      <c r="C192" s="6">
        <v>16577854</v>
      </c>
      <c r="D192" s="6">
        <v>421719</v>
      </c>
      <c r="E192" s="6">
        <v>11748671</v>
      </c>
      <c r="F192" s="6"/>
      <c r="G192" s="7">
        <f t="shared" si="8"/>
        <v>4407464</v>
      </c>
      <c r="H192" s="12">
        <f t="shared" si="9"/>
        <v>2.5438696709477595</v>
      </c>
      <c r="I192" s="12">
        <f t="shared" si="10"/>
        <v>70.869673481259994</v>
      </c>
      <c r="J192">
        <f t="shared" si="11"/>
        <v>31496</v>
      </c>
      <c r="M192" s="5" t="s">
        <v>36</v>
      </c>
      <c r="N192" s="7">
        <v>4407464</v>
      </c>
    </row>
    <row r="193" spans="1:14" x14ac:dyDescent="0.3">
      <c r="A193" s="5" t="s">
        <v>36</v>
      </c>
      <c r="B193" s="6" t="s">
        <v>11</v>
      </c>
      <c r="C193" s="6">
        <v>16614748</v>
      </c>
      <c r="D193" s="6">
        <v>363805</v>
      </c>
      <c r="E193" s="6">
        <v>14292308</v>
      </c>
      <c r="F193" s="6"/>
      <c r="G193" s="7">
        <f t="shared" si="8"/>
        <v>1958635</v>
      </c>
      <c r="H193" s="12">
        <f t="shared" si="9"/>
        <v>2.1896510257031885</v>
      </c>
      <c r="I193" s="12">
        <f t="shared" si="10"/>
        <v>86.021816280331194</v>
      </c>
      <c r="J193">
        <f t="shared" si="11"/>
        <v>36894</v>
      </c>
      <c r="M193" s="5" t="s">
        <v>36</v>
      </c>
      <c r="N193" s="7">
        <v>1958635</v>
      </c>
    </row>
    <row r="194" spans="1:14" x14ac:dyDescent="0.3">
      <c r="A194" s="5" t="s">
        <v>37</v>
      </c>
      <c r="B194" s="6" t="s">
        <v>11</v>
      </c>
      <c r="C194" s="6">
        <v>16651740</v>
      </c>
      <c r="D194" s="6">
        <v>263908</v>
      </c>
      <c r="E194" s="6">
        <v>13763489</v>
      </c>
      <c r="F194" s="6"/>
      <c r="G194" s="7">
        <f t="shared" si="8"/>
        <v>2624343</v>
      </c>
      <c r="H194" s="12">
        <f t="shared" si="9"/>
        <v>1.5848674072499329</v>
      </c>
      <c r="I194" s="12">
        <f t="shared" si="10"/>
        <v>82.654959781980736</v>
      </c>
      <c r="J194">
        <f t="shared" si="11"/>
        <v>36992</v>
      </c>
      <c r="M194" s="5" t="s">
        <v>37</v>
      </c>
      <c r="N194" s="7">
        <v>2624343</v>
      </c>
    </row>
    <row r="195" spans="1:14" x14ac:dyDescent="0.3">
      <c r="A195" s="5" t="s">
        <v>37</v>
      </c>
      <c r="B195" s="6" t="s">
        <v>11</v>
      </c>
      <c r="C195" s="6">
        <v>16663203</v>
      </c>
      <c r="D195" s="6">
        <v>498956</v>
      </c>
      <c r="E195" s="6">
        <v>12267899</v>
      </c>
      <c r="F195" s="6"/>
      <c r="G195" s="7">
        <f t="shared" ref="G195:G258" si="12" xml:space="preserve"> C195-D195-E195</f>
        <v>3896348</v>
      </c>
      <c r="H195" s="12">
        <f t="shared" ref="H195:H258" si="13">D195/C195*100</f>
        <v>2.9943582875393164</v>
      </c>
      <c r="I195" s="12">
        <f t="shared" ref="I195:I258" si="14">E195/C195*100</f>
        <v>73.622694268322846</v>
      </c>
      <c r="J195">
        <f t="shared" ref="J195:J258" si="15">IF(B195=B194,C195-C194,"")</f>
        <v>11463</v>
      </c>
      <c r="M195" s="5" t="s">
        <v>37</v>
      </c>
      <c r="N195" s="7">
        <v>3896348</v>
      </c>
    </row>
    <row r="196" spans="1:14" x14ac:dyDescent="0.3">
      <c r="A196" s="5" t="s">
        <v>37</v>
      </c>
      <c r="B196" s="6" t="s">
        <v>11</v>
      </c>
      <c r="C196" s="6">
        <v>16677760</v>
      </c>
      <c r="D196" s="6">
        <v>279329</v>
      </c>
      <c r="E196" s="6">
        <v>13286648</v>
      </c>
      <c r="F196" s="6"/>
      <c r="G196" s="7">
        <f t="shared" si="12"/>
        <v>3111783</v>
      </c>
      <c r="H196" s="12">
        <f t="shared" si="13"/>
        <v>1.6748592137073564</v>
      </c>
      <c r="I196" s="12">
        <f t="shared" si="14"/>
        <v>79.666861736827968</v>
      </c>
      <c r="J196">
        <f t="shared" si="15"/>
        <v>14557</v>
      </c>
      <c r="M196" s="5" t="s">
        <v>37</v>
      </c>
      <c r="N196" s="7">
        <v>3111783</v>
      </c>
    </row>
    <row r="197" spans="1:14" x14ac:dyDescent="0.3">
      <c r="A197" s="5" t="s">
        <v>37</v>
      </c>
      <c r="B197" s="6" t="s">
        <v>11</v>
      </c>
      <c r="C197" s="6">
        <v>16691978</v>
      </c>
      <c r="D197" s="6">
        <v>499349</v>
      </c>
      <c r="E197" s="6">
        <v>14761401</v>
      </c>
      <c r="F197" s="6"/>
      <c r="G197" s="7">
        <f t="shared" si="12"/>
        <v>1431228</v>
      </c>
      <c r="H197" s="12">
        <f t="shared" si="13"/>
        <v>2.9915507916437467</v>
      </c>
      <c r="I197" s="12">
        <f t="shared" si="14"/>
        <v>88.43410289661297</v>
      </c>
      <c r="J197">
        <f t="shared" si="15"/>
        <v>14218</v>
      </c>
      <c r="M197" s="5" t="s">
        <v>37</v>
      </c>
      <c r="N197" s="7">
        <v>1431228</v>
      </c>
    </row>
    <row r="198" spans="1:14" x14ac:dyDescent="0.3">
      <c r="A198" s="5" t="s">
        <v>37</v>
      </c>
      <c r="B198" s="6" t="s">
        <v>11</v>
      </c>
      <c r="C198" s="6">
        <v>16700118</v>
      </c>
      <c r="D198" s="6">
        <v>203414</v>
      </c>
      <c r="E198" s="6">
        <v>11791135</v>
      </c>
      <c r="F198" s="6"/>
      <c r="G198" s="7">
        <f t="shared" si="12"/>
        <v>4705569</v>
      </c>
      <c r="H198" s="12">
        <f t="shared" si="13"/>
        <v>1.2180392976863996</v>
      </c>
      <c r="I198" s="12">
        <f t="shared" si="14"/>
        <v>70.605099916060482</v>
      </c>
      <c r="J198">
        <f t="shared" si="15"/>
        <v>8140</v>
      </c>
      <c r="M198" s="5" t="s">
        <v>37</v>
      </c>
      <c r="N198" s="7">
        <v>4705569</v>
      </c>
    </row>
    <row r="199" spans="1:14" x14ac:dyDescent="0.3">
      <c r="A199" s="5" t="s">
        <v>37</v>
      </c>
      <c r="B199" s="6" t="s">
        <v>11</v>
      </c>
      <c r="C199" s="6">
        <v>16712610</v>
      </c>
      <c r="D199" s="6">
        <v>252936</v>
      </c>
      <c r="E199" s="6">
        <v>12343518</v>
      </c>
      <c r="F199" s="6"/>
      <c r="G199" s="7">
        <f t="shared" si="12"/>
        <v>4116156</v>
      </c>
      <c r="H199" s="12">
        <f t="shared" si="13"/>
        <v>1.513444040158898</v>
      </c>
      <c r="I199" s="12">
        <f t="shared" si="14"/>
        <v>73.857512381369517</v>
      </c>
      <c r="J199">
        <f t="shared" si="15"/>
        <v>12492</v>
      </c>
      <c r="M199" s="5" t="s">
        <v>37</v>
      </c>
      <c r="N199" s="7">
        <v>4116156</v>
      </c>
    </row>
    <row r="200" spans="1:14" x14ac:dyDescent="0.3">
      <c r="A200" s="5" t="s">
        <v>37</v>
      </c>
      <c r="B200" s="6" t="s">
        <v>11</v>
      </c>
      <c r="C200" s="6">
        <v>16733590</v>
      </c>
      <c r="D200" s="6">
        <v>195838</v>
      </c>
      <c r="E200" s="6">
        <v>14423139</v>
      </c>
      <c r="F200" s="6"/>
      <c r="G200" s="7">
        <f t="shared" si="12"/>
        <v>2114613</v>
      </c>
      <c r="H200" s="12">
        <f t="shared" si="13"/>
        <v>1.1703286622894429</v>
      </c>
      <c r="I200" s="12">
        <f t="shared" si="14"/>
        <v>86.192735689113931</v>
      </c>
      <c r="J200">
        <f t="shared" si="15"/>
        <v>20980</v>
      </c>
      <c r="M200" s="5" t="s">
        <v>37</v>
      </c>
      <c r="N200" s="7">
        <v>2114613</v>
      </c>
    </row>
    <row r="201" spans="1:14" x14ac:dyDescent="0.3">
      <c r="A201" s="5" t="s">
        <v>37</v>
      </c>
      <c r="B201" s="6" t="s">
        <v>11</v>
      </c>
      <c r="C201" s="6">
        <v>16757231</v>
      </c>
      <c r="D201" s="6">
        <v>419166</v>
      </c>
      <c r="E201" s="6">
        <v>14823186</v>
      </c>
      <c r="F201" s="6"/>
      <c r="G201" s="7">
        <f t="shared" si="12"/>
        <v>1514879</v>
      </c>
      <c r="H201" s="12">
        <f t="shared" si="13"/>
        <v>2.5014037223691674</v>
      </c>
      <c r="I201" s="12">
        <f t="shared" si="14"/>
        <v>88.458445193003541</v>
      </c>
      <c r="J201">
        <f t="shared" si="15"/>
        <v>23641</v>
      </c>
      <c r="M201" s="5" t="s">
        <v>37</v>
      </c>
      <c r="N201" s="7">
        <v>1514879</v>
      </c>
    </row>
    <row r="202" spans="1:14" x14ac:dyDescent="0.3">
      <c r="A202" s="5" t="s">
        <v>38</v>
      </c>
      <c r="B202" s="6" t="s">
        <v>11</v>
      </c>
      <c r="C202" s="6">
        <v>16784349</v>
      </c>
      <c r="D202" s="6">
        <v>244222</v>
      </c>
      <c r="E202" s="6">
        <v>12440370</v>
      </c>
      <c r="F202" s="6"/>
      <c r="G202" s="7">
        <f t="shared" si="12"/>
        <v>4099757</v>
      </c>
      <c r="H202" s="12">
        <f t="shared" si="13"/>
        <v>1.4550579233070047</v>
      </c>
      <c r="I202" s="12">
        <f t="shared" si="14"/>
        <v>74.11887109830711</v>
      </c>
      <c r="J202">
        <f t="shared" si="15"/>
        <v>27118</v>
      </c>
      <c r="M202" s="5" t="s">
        <v>38</v>
      </c>
      <c r="N202" s="7">
        <v>4099757</v>
      </c>
    </row>
    <row r="203" spans="1:14" x14ac:dyDescent="0.3">
      <c r="A203" s="5" t="s">
        <v>38</v>
      </c>
      <c r="B203" s="6" t="s">
        <v>11</v>
      </c>
      <c r="C203" s="6">
        <v>16820752</v>
      </c>
      <c r="D203" s="6">
        <v>504192</v>
      </c>
      <c r="E203" s="6">
        <v>12355266</v>
      </c>
      <c r="F203" s="6"/>
      <c r="G203" s="7">
        <f t="shared" si="12"/>
        <v>3961294</v>
      </c>
      <c r="H203" s="12">
        <f t="shared" si="13"/>
        <v>2.9974403046903015</v>
      </c>
      <c r="I203" s="12">
        <f t="shared" si="14"/>
        <v>73.452518650771381</v>
      </c>
      <c r="J203">
        <f t="shared" si="15"/>
        <v>36403</v>
      </c>
      <c r="M203" s="5" t="s">
        <v>38</v>
      </c>
      <c r="N203" s="7">
        <v>3961294</v>
      </c>
    </row>
    <row r="204" spans="1:14" x14ac:dyDescent="0.3">
      <c r="A204" s="5" t="s">
        <v>38</v>
      </c>
      <c r="B204" s="6" t="s">
        <v>11</v>
      </c>
      <c r="C204" s="6">
        <v>16844481</v>
      </c>
      <c r="D204" s="6">
        <v>328785</v>
      </c>
      <c r="E204" s="6">
        <v>14670401</v>
      </c>
      <c r="F204" s="6"/>
      <c r="G204" s="7">
        <f t="shared" si="12"/>
        <v>1845295</v>
      </c>
      <c r="H204" s="12">
        <f t="shared" si="13"/>
        <v>1.9518856057363834</v>
      </c>
      <c r="I204" s="12">
        <f t="shared" si="14"/>
        <v>87.093220622232295</v>
      </c>
      <c r="J204">
        <f t="shared" si="15"/>
        <v>23729</v>
      </c>
      <c r="M204" s="5" t="s">
        <v>38</v>
      </c>
      <c r="N204" s="7">
        <v>1845295</v>
      </c>
    </row>
    <row r="205" spans="1:14" x14ac:dyDescent="0.3">
      <c r="A205" s="5" t="s">
        <v>38</v>
      </c>
      <c r="B205" s="6" t="s">
        <v>11</v>
      </c>
      <c r="C205" s="6">
        <v>16861555</v>
      </c>
      <c r="D205" s="6">
        <v>384733</v>
      </c>
      <c r="E205" s="6">
        <v>14532562</v>
      </c>
      <c r="F205" s="6"/>
      <c r="G205" s="7">
        <f t="shared" si="12"/>
        <v>1944260</v>
      </c>
      <c r="H205" s="12">
        <f t="shared" si="13"/>
        <v>2.2817171963084069</v>
      </c>
      <c r="I205" s="12">
        <f t="shared" si="14"/>
        <v>86.187555062388967</v>
      </c>
      <c r="J205">
        <f t="shared" si="15"/>
        <v>17074</v>
      </c>
      <c r="M205" s="5" t="s">
        <v>38</v>
      </c>
      <c r="N205" s="7">
        <v>1944260</v>
      </c>
    </row>
    <row r="206" spans="1:14" x14ac:dyDescent="0.3">
      <c r="A206" s="5" t="s">
        <v>38</v>
      </c>
      <c r="B206" s="6" t="s">
        <v>11</v>
      </c>
      <c r="C206" s="6">
        <v>16874763</v>
      </c>
      <c r="D206" s="6">
        <v>482406</v>
      </c>
      <c r="E206" s="6">
        <v>15009255</v>
      </c>
      <c r="F206" s="6"/>
      <c r="G206" s="7">
        <f t="shared" si="12"/>
        <v>1383102</v>
      </c>
      <c r="H206" s="12">
        <f t="shared" si="13"/>
        <v>2.8587423716706422</v>
      </c>
      <c r="I206" s="12">
        <f t="shared" si="14"/>
        <v>88.944982516198891</v>
      </c>
      <c r="J206">
        <f t="shared" si="15"/>
        <v>13208</v>
      </c>
      <c r="M206" s="5" t="s">
        <v>38</v>
      </c>
      <c r="N206" s="7">
        <v>1383102</v>
      </c>
    </row>
    <row r="207" spans="1:14" x14ac:dyDescent="0.3">
      <c r="A207" s="5" t="s">
        <v>38</v>
      </c>
      <c r="B207" s="6" t="s">
        <v>11</v>
      </c>
      <c r="C207" s="6">
        <v>16908104</v>
      </c>
      <c r="D207" s="6">
        <v>445365</v>
      </c>
      <c r="E207" s="6">
        <v>14555532</v>
      </c>
      <c r="F207" s="6"/>
      <c r="G207" s="7">
        <f t="shared" si="12"/>
        <v>1907207</v>
      </c>
      <c r="H207" s="12">
        <f t="shared" si="13"/>
        <v>2.6340327691383969</v>
      </c>
      <c r="I207" s="12">
        <f t="shared" si="14"/>
        <v>86.086127693560428</v>
      </c>
      <c r="J207">
        <f t="shared" si="15"/>
        <v>33341</v>
      </c>
      <c r="M207" s="5" t="s">
        <v>38</v>
      </c>
      <c r="N207" s="7">
        <v>1907207</v>
      </c>
    </row>
    <row r="208" spans="1:14" x14ac:dyDescent="0.3">
      <c r="A208" s="5" t="s">
        <v>38</v>
      </c>
      <c r="B208" s="6" t="s">
        <v>11</v>
      </c>
      <c r="C208" s="6">
        <v>16938504</v>
      </c>
      <c r="D208" s="6">
        <v>229951</v>
      </c>
      <c r="E208" s="6">
        <v>13610306</v>
      </c>
      <c r="F208" s="6"/>
      <c r="G208" s="7">
        <f t="shared" si="12"/>
        <v>3098247</v>
      </c>
      <c r="H208" s="12">
        <f t="shared" si="13"/>
        <v>1.3575638084685637</v>
      </c>
      <c r="I208" s="12">
        <f t="shared" si="14"/>
        <v>80.351287221114688</v>
      </c>
      <c r="J208">
        <f t="shared" si="15"/>
        <v>30400</v>
      </c>
      <c r="M208" s="5" t="s">
        <v>38</v>
      </c>
      <c r="N208" s="7">
        <v>3098247</v>
      </c>
    </row>
    <row r="209" spans="1:14" x14ac:dyDescent="0.3">
      <c r="A209" s="5" t="s">
        <v>38</v>
      </c>
      <c r="B209" s="6" t="s">
        <v>11</v>
      </c>
      <c r="C209" s="6">
        <v>16951254</v>
      </c>
      <c r="D209" s="6">
        <v>211361</v>
      </c>
      <c r="E209" s="6">
        <v>14013290</v>
      </c>
      <c r="F209" s="6"/>
      <c r="G209" s="7">
        <f t="shared" si="12"/>
        <v>2726603</v>
      </c>
      <c r="H209" s="12">
        <f t="shared" si="13"/>
        <v>1.2468753049184444</v>
      </c>
      <c r="I209" s="12">
        <f t="shared" si="14"/>
        <v>82.668161305352399</v>
      </c>
      <c r="J209">
        <f t="shared" si="15"/>
        <v>12750</v>
      </c>
      <c r="M209" s="5" t="s">
        <v>38</v>
      </c>
      <c r="N209" s="7">
        <v>2726603</v>
      </c>
    </row>
    <row r="210" spans="1:14" x14ac:dyDescent="0.3">
      <c r="A210" s="5" t="s">
        <v>39</v>
      </c>
      <c r="B210" s="6" t="s">
        <v>11</v>
      </c>
      <c r="C210" s="6">
        <v>16971724</v>
      </c>
      <c r="D210" s="6">
        <v>273858</v>
      </c>
      <c r="E210" s="6">
        <v>11922424</v>
      </c>
      <c r="F210" s="6"/>
      <c r="G210" s="7">
        <f t="shared" si="12"/>
        <v>4775442</v>
      </c>
      <c r="H210" s="12">
        <f t="shared" si="13"/>
        <v>1.6136133253168623</v>
      </c>
      <c r="I210" s="12">
        <f t="shared" si="14"/>
        <v>70.2487502153582</v>
      </c>
      <c r="J210">
        <f t="shared" si="15"/>
        <v>20470</v>
      </c>
      <c r="M210" s="5" t="s">
        <v>39</v>
      </c>
      <c r="N210" s="7">
        <v>4775442</v>
      </c>
    </row>
    <row r="211" spans="1:14" x14ac:dyDescent="0.3">
      <c r="A211" s="5" t="s">
        <v>39</v>
      </c>
      <c r="B211" s="6" t="s">
        <v>11</v>
      </c>
      <c r="C211" s="6">
        <v>17015516</v>
      </c>
      <c r="D211" s="6">
        <v>461066</v>
      </c>
      <c r="E211" s="6">
        <v>15211537</v>
      </c>
      <c r="F211" s="6"/>
      <c r="G211" s="7">
        <f t="shared" si="12"/>
        <v>1342913</v>
      </c>
      <c r="H211" s="12">
        <f t="shared" si="13"/>
        <v>2.7096798004832765</v>
      </c>
      <c r="I211" s="12">
        <f t="shared" si="14"/>
        <v>89.39803529907644</v>
      </c>
      <c r="J211">
        <f t="shared" si="15"/>
        <v>43792</v>
      </c>
      <c r="M211" s="5" t="s">
        <v>39</v>
      </c>
      <c r="N211" s="7">
        <v>1342913</v>
      </c>
    </row>
    <row r="212" spans="1:14" x14ac:dyDescent="0.3">
      <c r="A212" s="5" t="s">
        <v>39</v>
      </c>
      <c r="B212" s="6" t="s">
        <v>11</v>
      </c>
      <c r="C212" s="6">
        <v>17049141</v>
      </c>
      <c r="D212" s="6">
        <v>387820</v>
      </c>
      <c r="E212" s="6">
        <v>14866019</v>
      </c>
      <c r="F212" s="6"/>
      <c r="G212" s="7">
        <f t="shared" si="12"/>
        <v>1795302</v>
      </c>
      <c r="H212" s="12">
        <f t="shared" si="13"/>
        <v>2.2747187087020984</v>
      </c>
      <c r="I212" s="12">
        <f t="shared" si="14"/>
        <v>87.195120270282231</v>
      </c>
      <c r="J212">
        <f t="shared" si="15"/>
        <v>33625</v>
      </c>
      <c r="M212" s="5" t="s">
        <v>39</v>
      </c>
      <c r="N212" s="7">
        <v>1795302</v>
      </c>
    </row>
    <row r="213" spans="1:14" x14ac:dyDescent="0.3">
      <c r="A213" s="5" t="s">
        <v>39</v>
      </c>
      <c r="B213" s="6" t="s">
        <v>11</v>
      </c>
      <c r="C213" s="6">
        <v>17054597</v>
      </c>
      <c r="D213" s="6">
        <v>424027</v>
      </c>
      <c r="E213" s="6">
        <v>12965271</v>
      </c>
      <c r="F213" s="6"/>
      <c r="G213" s="7">
        <f t="shared" si="12"/>
        <v>3665299</v>
      </c>
      <c r="H213" s="12">
        <f t="shared" si="13"/>
        <v>2.4862915259739058</v>
      </c>
      <c r="I213" s="12">
        <f t="shared" si="14"/>
        <v>76.022148163336851</v>
      </c>
      <c r="J213">
        <f t="shared" si="15"/>
        <v>5456</v>
      </c>
      <c r="M213" s="5" t="s">
        <v>39</v>
      </c>
      <c r="N213" s="7">
        <v>3665299</v>
      </c>
    </row>
    <row r="214" spans="1:14" x14ac:dyDescent="0.3">
      <c r="A214" s="5" t="s">
        <v>39</v>
      </c>
      <c r="B214" s="6" t="s">
        <v>11</v>
      </c>
      <c r="C214" s="6">
        <v>17080419</v>
      </c>
      <c r="D214" s="6">
        <v>303547</v>
      </c>
      <c r="E214" s="6">
        <v>12756578</v>
      </c>
      <c r="F214" s="6"/>
      <c r="G214" s="7">
        <f t="shared" si="12"/>
        <v>4020294</v>
      </c>
      <c r="H214" s="12">
        <f t="shared" si="13"/>
        <v>1.7771636632567387</v>
      </c>
      <c r="I214" s="12">
        <f t="shared" si="14"/>
        <v>74.685392670987767</v>
      </c>
      <c r="J214">
        <f t="shared" si="15"/>
        <v>25822</v>
      </c>
      <c r="M214" s="5" t="s">
        <v>39</v>
      </c>
      <c r="N214" s="7">
        <v>4020294</v>
      </c>
    </row>
    <row r="215" spans="1:14" x14ac:dyDescent="0.3">
      <c r="A215" s="5" t="s">
        <v>39</v>
      </c>
      <c r="B215" s="6" t="s">
        <v>11</v>
      </c>
      <c r="C215" s="6">
        <v>17089824</v>
      </c>
      <c r="D215" s="6">
        <v>301224</v>
      </c>
      <c r="E215" s="6">
        <v>12621322</v>
      </c>
      <c r="F215" s="6"/>
      <c r="G215" s="7">
        <f t="shared" si="12"/>
        <v>4167278</v>
      </c>
      <c r="H215" s="12">
        <f t="shared" si="13"/>
        <v>1.7625927569529094</v>
      </c>
      <c r="I215" s="12">
        <f t="shared" si="14"/>
        <v>73.852849508573058</v>
      </c>
      <c r="J215">
        <f t="shared" si="15"/>
        <v>9405</v>
      </c>
      <c r="M215" s="5" t="s">
        <v>39</v>
      </c>
      <c r="N215" s="7">
        <v>4167278</v>
      </c>
    </row>
    <row r="216" spans="1:14" x14ac:dyDescent="0.3">
      <c r="A216" s="5" t="s">
        <v>39</v>
      </c>
      <c r="B216" s="6" t="s">
        <v>11</v>
      </c>
      <c r="C216" s="6">
        <v>17093985</v>
      </c>
      <c r="D216" s="6">
        <v>273772</v>
      </c>
      <c r="E216" s="6">
        <v>14961125</v>
      </c>
      <c r="F216" s="6"/>
      <c r="G216" s="7">
        <f t="shared" si="12"/>
        <v>1859088</v>
      </c>
      <c r="H216" s="12">
        <f t="shared" si="13"/>
        <v>1.6015692069461862</v>
      </c>
      <c r="I216" s="12">
        <f t="shared" si="14"/>
        <v>87.522745573954822</v>
      </c>
      <c r="J216">
        <f t="shared" si="15"/>
        <v>4161</v>
      </c>
      <c r="M216" s="5" t="s">
        <v>39</v>
      </c>
      <c r="N216" s="7">
        <v>1859088</v>
      </c>
    </row>
    <row r="217" spans="1:14" x14ac:dyDescent="0.3">
      <c r="A217" s="5" t="s">
        <v>39</v>
      </c>
      <c r="B217" s="6" t="s">
        <v>11</v>
      </c>
      <c r="C217" s="6">
        <v>17122602</v>
      </c>
      <c r="D217" s="6">
        <v>474545</v>
      </c>
      <c r="E217" s="6">
        <v>12919705</v>
      </c>
      <c r="F217" s="6"/>
      <c r="G217" s="7">
        <f t="shared" si="12"/>
        <v>3728352</v>
      </c>
      <c r="H217" s="12">
        <f t="shared" si="13"/>
        <v>2.7714537778779182</v>
      </c>
      <c r="I217" s="12">
        <f t="shared" si="14"/>
        <v>75.454098623562004</v>
      </c>
      <c r="J217">
        <f t="shared" si="15"/>
        <v>28617</v>
      </c>
      <c r="M217" s="5" t="s">
        <v>39</v>
      </c>
      <c r="N217" s="7">
        <v>3728352</v>
      </c>
    </row>
    <row r="218" spans="1:14" x14ac:dyDescent="0.3">
      <c r="A218" s="5" t="s">
        <v>40</v>
      </c>
      <c r="B218" s="6" t="s">
        <v>11</v>
      </c>
      <c r="C218" s="6">
        <v>17136709</v>
      </c>
      <c r="D218" s="6">
        <v>392299</v>
      </c>
      <c r="E218" s="6">
        <v>13349557</v>
      </c>
      <c r="F218" s="6"/>
      <c r="G218" s="7">
        <f t="shared" si="12"/>
        <v>3394853</v>
      </c>
      <c r="H218" s="12">
        <f t="shared" si="13"/>
        <v>2.2892318472584208</v>
      </c>
      <c r="I218" s="12">
        <f t="shared" si="14"/>
        <v>77.900354146178245</v>
      </c>
      <c r="J218">
        <f t="shared" si="15"/>
        <v>14107</v>
      </c>
      <c r="M218" s="5" t="s">
        <v>40</v>
      </c>
      <c r="N218" s="7">
        <v>3394853</v>
      </c>
    </row>
    <row r="219" spans="1:14" x14ac:dyDescent="0.3">
      <c r="A219" s="5" t="s">
        <v>40</v>
      </c>
      <c r="B219" s="6" t="s">
        <v>11</v>
      </c>
      <c r="C219" s="6">
        <v>17152723</v>
      </c>
      <c r="D219" s="6">
        <v>181939</v>
      </c>
      <c r="E219" s="6">
        <v>13825359</v>
      </c>
      <c r="F219" s="6"/>
      <c r="G219" s="7">
        <f t="shared" si="12"/>
        <v>3145425</v>
      </c>
      <c r="H219" s="12">
        <f t="shared" si="13"/>
        <v>1.0607003914189017</v>
      </c>
      <c r="I219" s="12">
        <f t="shared" si="14"/>
        <v>80.601540641681197</v>
      </c>
      <c r="J219">
        <f t="shared" si="15"/>
        <v>16014</v>
      </c>
      <c r="M219" s="5" t="s">
        <v>40</v>
      </c>
      <c r="N219" s="7">
        <v>3145425</v>
      </c>
    </row>
    <row r="220" spans="1:14" x14ac:dyDescent="0.3">
      <c r="A220" s="5" t="s">
        <v>40</v>
      </c>
      <c r="B220" s="6" t="s">
        <v>11</v>
      </c>
      <c r="C220" s="6">
        <v>17177387</v>
      </c>
      <c r="D220" s="6">
        <v>465008</v>
      </c>
      <c r="E220" s="6">
        <v>14932300</v>
      </c>
      <c r="F220" s="6"/>
      <c r="G220" s="7">
        <f t="shared" si="12"/>
        <v>1780079</v>
      </c>
      <c r="H220" s="12">
        <f t="shared" si="13"/>
        <v>2.7070939252867738</v>
      </c>
      <c r="I220" s="12">
        <f t="shared" si="14"/>
        <v>86.929985334789279</v>
      </c>
      <c r="J220">
        <f t="shared" si="15"/>
        <v>24664</v>
      </c>
      <c r="M220" s="5" t="s">
        <v>40</v>
      </c>
      <c r="N220" s="7">
        <v>1780079</v>
      </c>
    </row>
    <row r="221" spans="1:14" x14ac:dyDescent="0.3">
      <c r="A221" s="5" t="s">
        <v>40</v>
      </c>
      <c r="B221" s="6" t="s">
        <v>11</v>
      </c>
      <c r="C221" s="6">
        <v>17181838</v>
      </c>
      <c r="D221" s="6">
        <v>269973</v>
      </c>
      <c r="E221" s="6">
        <v>13903704</v>
      </c>
      <c r="F221" s="6"/>
      <c r="G221" s="7">
        <f t="shared" si="12"/>
        <v>3008161</v>
      </c>
      <c r="H221" s="12">
        <f t="shared" si="13"/>
        <v>1.5712696162075328</v>
      </c>
      <c r="I221" s="12">
        <f t="shared" si="14"/>
        <v>80.92093523405353</v>
      </c>
      <c r="J221">
        <f t="shared" si="15"/>
        <v>4451</v>
      </c>
      <c r="M221" s="5" t="s">
        <v>40</v>
      </c>
      <c r="N221" s="7">
        <v>3008161</v>
      </c>
    </row>
    <row r="222" spans="1:14" x14ac:dyDescent="0.3">
      <c r="A222" s="5" t="s">
        <v>40</v>
      </c>
      <c r="B222" s="6" t="s">
        <v>11</v>
      </c>
      <c r="C222" s="6">
        <v>17224341</v>
      </c>
      <c r="D222" s="6">
        <v>207119</v>
      </c>
      <c r="E222" s="6">
        <v>12906819</v>
      </c>
      <c r="F222" s="6"/>
      <c r="G222" s="7">
        <f t="shared" si="12"/>
        <v>4110403</v>
      </c>
      <c r="H222" s="12">
        <f t="shared" si="13"/>
        <v>1.2024785157237656</v>
      </c>
      <c r="I222" s="12">
        <f t="shared" si="14"/>
        <v>74.933601233277955</v>
      </c>
      <c r="J222">
        <f t="shared" si="15"/>
        <v>42503</v>
      </c>
      <c r="M222" s="5" t="s">
        <v>40</v>
      </c>
      <c r="N222" s="7">
        <v>4110403</v>
      </c>
    </row>
    <row r="223" spans="1:14" x14ac:dyDescent="0.3">
      <c r="A223" s="5" t="s">
        <v>40</v>
      </c>
      <c r="B223" s="6" t="s">
        <v>11</v>
      </c>
      <c r="C223" s="6">
        <v>17240282</v>
      </c>
      <c r="D223" s="6">
        <v>351952</v>
      </c>
      <c r="E223" s="6">
        <v>15075309</v>
      </c>
      <c r="F223" s="6"/>
      <c r="G223" s="7">
        <f t="shared" si="12"/>
        <v>1813021</v>
      </c>
      <c r="H223" s="12">
        <f t="shared" si="13"/>
        <v>2.0414515261409298</v>
      </c>
      <c r="I223" s="12">
        <f t="shared" si="14"/>
        <v>87.44235738139318</v>
      </c>
      <c r="J223">
        <f t="shared" si="15"/>
        <v>15941</v>
      </c>
      <c r="M223" s="5" t="s">
        <v>40</v>
      </c>
      <c r="N223" s="7">
        <v>1813021</v>
      </c>
    </row>
    <row r="224" spans="1:14" x14ac:dyDescent="0.3">
      <c r="A224" s="5" t="s">
        <v>40</v>
      </c>
      <c r="B224" s="6" t="s">
        <v>11</v>
      </c>
      <c r="C224" s="6">
        <v>17288129</v>
      </c>
      <c r="D224" s="6">
        <v>372628</v>
      </c>
      <c r="E224" s="6">
        <v>13328100</v>
      </c>
      <c r="F224" s="6"/>
      <c r="G224" s="7">
        <f t="shared" si="12"/>
        <v>3587401</v>
      </c>
      <c r="H224" s="12">
        <f t="shared" si="13"/>
        <v>2.1553980769116197</v>
      </c>
      <c r="I224" s="12">
        <f t="shared" si="14"/>
        <v>77.093941166218741</v>
      </c>
      <c r="J224">
        <f t="shared" si="15"/>
        <v>47847</v>
      </c>
      <c r="M224" s="5" t="s">
        <v>40</v>
      </c>
      <c r="N224" s="7">
        <v>3587401</v>
      </c>
    </row>
    <row r="225" spans="1:14" x14ac:dyDescent="0.3">
      <c r="A225" s="5" t="s">
        <v>40</v>
      </c>
      <c r="B225" s="6" t="s">
        <v>11</v>
      </c>
      <c r="C225" s="6">
        <v>17291120</v>
      </c>
      <c r="D225" s="6">
        <v>455813</v>
      </c>
      <c r="E225" s="6">
        <v>12259784</v>
      </c>
      <c r="F225" s="6"/>
      <c r="G225" s="7">
        <f t="shared" si="12"/>
        <v>4575523</v>
      </c>
      <c r="H225" s="12">
        <f t="shared" si="13"/>
        <v>2.6361103271505835</v>
      </c>
      <c r="I225" s="12">
        <f t="shared" si="14"/>
        <v>70.902197197174047</v>
      </c>
      <c r="J225">
        <f t="shared" si="15"/>
        <v>2991</v>
      </c>
      <c r="M225" s="5" t="s">
        <v>40</v>
      </c>
      <c r="N225" s="7">
        <v>4575523</v>
      </c>
    </row>
    <row r="226" spans="1:14" x14ac:dyDescent="0.3">
      <c r="A226" s="5" t="s">
        <v>41</v>
      </c>
      <c r="B226" s="6" t="s">
        <v>11</v>
      </c>
      <c r="C226" s="6">
        <v>17336620</v>
      </c>
      <c r="D226" s="6">
        <v>235707</v>
      </c>
      <c r="E226" s="6">
        <v>13350564</v>
      </c>
      <c r="F226" s="6"/>
      <c r="G226" s="7">
        <f t="shared" si="12"/>
        <v>3750349</v>
      </c>
      <c r="H226" s="12">
        <f t="shared" si="13"/>
        <v>1.3595902776896536</v>
      </c>
      <c r="I226" s="12">
        <f t="shared" si="14"/>
        <v>77.0078827360812</v>
      </c>
      <c r="J226">
        <f t="shared" si="15"/>
        <v>45500</v>
      </c>
      <c r="M226" s="5" t="s">
        <v>41</v>
      </c>
      <c r="N226" s="7">
        <v>3750349</v>
      </c>
    </row>
    <row r="227" spans="1:14" x14ac:dyDescent="0.3">
      <c r="A227" s="5" t="s">
        <v>41</v>
      </c>
      <c r="B227" s="6" t="s">
        <v>11</v>
      </c>
      <c r="C227" s="6">
        <v>17379767</v>
      </c>
      <c r="D227" s="6">
        <v>246292</v>
      </c>
      <c r="E227" s="6">
        <v>15538447</v>
      </c>
      <c r="F227" s="6"/>
      <c r="G227" s="7">
        <f t="shared" si="12"/>
        <v>1595028</v>
      </c>
      <c r="H227" s="12">
        <f t="shared" si="13"/>
        <v>1.4171191132769501</v>
      </c>
      <c r="I227" s="12">
        <f t="shared" si="14"/>
        <v>89.405381556611189</v>
      </c>
      <c r="J227">
        <f t="shared" si="15"/>
        <v>43147</v>
      </c>
      <c r="M227" s="5" t="s">
        <v>41</v>
      </c>
      <c r="N227" s="7">
        <v>1595028</v>
      </c>
    </row>
    <row r="228" spans="1:14" x14ac:dyDescent="0.3">
      <c r="A228" s="5" t="s">
        <v>41</v>
      </c>
      <c r="B228" s="6" t="s">
        <v>11</v>
      </c>
      <c r="C228" s="6">
        <v>17382109</v>
      </c>
      <c r="D228" s="6">
        <v>493365</v>
      </c>
      <c r="E228" s="6">
        <v>14904901</v>
      </c>
      <c r="F228" s="6"/>
      <c r="G228" s="7">
        <f t="shared" si="12"/>
        <v>1983843</v>
      </c>
      <c r="H228" s="12">
        <f t="shared" si="13"/>
        <v>2.8383494776151732</v>
      </c>
      <c r="I228" s="12">
        <f t="shared" si="14"/>
        <v>85.748518778705161</v>
      </c>
      <c r="J228">
        <f t="shared" si="15"/>
        <v>2342</v>
      </c>
      <c r="M228" s="5" t="s">
        <v>41</v>
      </c>
      <c r="N228" s="7">
        <v>1983843</v>
      </c>
    </row>
    <row r="229" spans="1:14" x14ac:dyDescent="0.3">
      <c r="A229" s="5" t="s">
        <v>41</v>
      </c>
      <c r="B229" s="6" t="s">
        <v>11</v>
      </c>
      <c r="C229" s="6">
        <v>17410464</v>
      </c>
      <c r="D229" s="6">
        <v>295386</v>
      </c>
      <c r="E229" s="6">
        <v>15067995</v>
      </c>
      <c r="F229" s="6"/>
      <c r="G229" s="7">
        <f t="shared" si="12"/>
        <v>2047083</v>
      </c>
      <c r="H229" s="12">
        <f t="shared" si="13"/>
        <v>1.6966003892831343</v>
      </c>
      <c r="I229" s="12">
        <f t="shared" si="14"/>
        <v>86.545625665117257</v>
      </c>
      <c r="J229">
        <f t="shared" si="15"/>
        <v>28355</v>
      </c>
      <c r="M229" s="5" t="s">
        <v>41</v>
      </c>
      <c r="N229" s="7">
        <v>2047083</v>
      </c>
    </row>
    <row r="230" spans="1:14" x14ac:dyDescent="0.3">
      <c r="A230" s="5" t="s">
        <v>41</v>
      </c>
      <c r="B230" s="6" t="s">
        <v>11</v>
      </c>
      <c r="C230" s="6">
        <v>17450966</v>
      </c>
      <c r="D230" s="6">
        <v>176054</v>
      </c>
      <c r="E230" s="6">
        <v>13953121</v>
      </c>
      <c r="F230" s="6"/>
      <c r="G230" s="7">
        <f t="shared" si="12"/>
        <v>3321791</v>
      </c>
      <c r="H230" s="12">
        <f t="shared" si="13"/>
        <v>1.0088495960624757</v>
      </c>
      <c r="I230" s="12">
        <f t="shared" si="14"/>
        <v>79.956152570579761</v>
      </c>
      <c r="J230">
        <f t="shared" si="15"/>
        <v>40502</v>
      </c>
      <c r="M230" s="5" t="s">
        <v>41</v>
      </c>
      <c r="N230" s="7">
        <v>3321791</v>
      </c>
    </row>
    <row r="231" spans="1:14" x14ac:dyDescent="0.3">
      <c r="A231" s="5" t="s">
        <v>41</v>
      </c>
      <c r="B231" s="6" t="s">
        <v>11</v>
      </c>
      <c r="C231" s="6">
        <v>17471789</v>
      </c>
      <c r="D231" s="6">
        <v>478021</v>
      </c>
      <c r="E231" s="6">
        <v>15631065</v>
      </c>
      <c r="F231" s="6"/>
      <c r="G231" s="7">
        <f t="shared" si="12"/>
        <v>1362703</v>
      </c>
      <c r="H231" s="12">
        <f t="shared" si="13"/>
        <v>2.7359590938283422</v>
      </c>
      <c r="I231" s="12">
        <f t="shared" si="14"/>
        <v>89.4645934655003</v>
      </c>
      <c r="J231">
        <f t="shared" si="15"/>
        <v>20823</v>
      </c>
      <c r="M231" s="5" t="s">
        <v>41</v>
      </c>
      <c r="N231" s="7">
        <v>1362703</v>
      </c>
    </row>
    <row r="232" spans="1:14" x14ac:dyDescent="0.3">
      <c r="A232" s="5" t="s">
        <v>41</v>
      </c>
      <c r="B232" s="6" t="s">
        <v>11</v>
      </c>
      <c r="C232" s="6">
        <v>17509732</v>
      </c>
      <c r="D232" s="6">
        <v>513835</v>
      </c>
      <c r="E232" s="6">
        <v>13326245</v>
      </c>
      <c r="F232" s="6"/>
      <c r="G232" s="7">
        <f t="shared" si="12"/>
        <v>3669652</v>
      </c>
      <c r="H232" s="12">
        <f t="shared" si="13"/>
        <v>2.9345680447878926</v>
      </c>
      <c r="I232" s="12">
        <f t="shared" si="14"/>
        <v>76.10764687888998</v>
      </c>
      <c r="J232">
        <f t="shared" si="15"/>
        <v>37943</v>
      </c>
      <c r="M232" s="5" t="s">
        <v>41</v>
      </c>
      <c r="N232" s="7">
        <v>3669652</v>
      </c>
    </row>
    <row r="233" spans="1:14" x14ac:dyDescent="0.3">
      <c r="A233" s="5" t="s">
        <v>41</v>
      </c>
      <c r="B233" s="6" t="s">
        <v>11</v>
      </c>
      <c r="C233" s="6">
        <v>17548868</v>
      </c>
      <c r="D233" s="6">
        <v>244124</v>
      </c>
      <c r="E233" s="6">
        <v>15265617</v>
      </c>
      <c r="F233" s="6"/>
      <c r="G233" s="7">
        <f t="shared" si="12"/>
        <v>2039127</v>
      </c>
      <c r="H233" s="12">
        <f t="shared" si="13"/>
        <v>1.3911096715753972</v>
      </c>
      <c r="I233" s="12">
        <f t="shared" si="14"/>
        <v>86.989183575829514</v>
      </c>
      <c r="J233">
        <f t="shared" si="15"/>
        <v>39136</v>
      </c>
      <c r="M233" s="5" t="s">
        <v>41</v>
      </c>
      <c r="N233" s="7">
        <v>2039127</v>
      </c>
    </row>
    <row r="234" spans="1:14" x14ac:dyDescent="0.3">
      <c r="A234" s="5" t="s">
        <v>42</v>
      </c>
      <c r="B234" s="6" t="s">
        <v>11</v>
      </c>
      <c r="C234" s="6">
        <v>17568728</v>
      </c>
      <c r="D234" s="6">
        <v>441307</v>
      </c>
      <c r="E234" s="6">
        <v>13309412</v>
      </c>
      <c r="F234" s="6"/>
      <c r="G234" s="7">
        <f t="shared" si="12"/>
        <v>3818009</v>
      </c>
      <c r="H234" s="12">
        <f t="shared" si="13"/>
        <v>2.5118893069549486</v>
      </c>
      <c r="I234" s="12">
        <f t="shared" si="14"/>
        <v>75.756264198523652</v>
      </c>
      <c r="J234">
        <f t="shared" si="15"/>
        <v>19860</v>
      </c>
      <c r="M234" s="5" t="s">
        <v>42</v>
      </c>
      <c r="N234" s="7">
        <v>3818009</v>
      </c>
    </row>
    <row r="235" spans="1:14" x14ac:dyDescent="0.3">
      <c r="A235" s="5" t="s">
        <v>42</v>
      </c>
      <c r="B235" s="6" t="s">
        <v>11</v>
      </c>
      <c r="C235" s="6">
        <v>17590433</v>
      </c>
      <c r="D235" s="6">
        <v>180658</v>
      </c>
      <c r="E235" s="6">
        <v>14785109</v>
      </c>
      <c r="F235" s="6"/>
      <c r="G235" s="7">
        <f t="shared" si="12"/>
        <v>2624666</v>
      </c>
      <c r="H235" s="12">
        <f t="shared" si="13"/>
        <v>1.0270241784269893</v>
      </c>
      <c r="I235" s="12">
        <f t="shared" si="14"/>
        <v>84.051990078925286</v>
      </c>
      <c r="J235">
        <f t="shared" si="15"/>
        <v>21705</v>
      </c>
      <c r="M235" s="5" t="s">
        <v>42</v>
      </c>
      <c r="N235" s="7">
        <v>2624666</v>
      </c>
    </row>
    <row r="236" spans="1:14" x14ac:dyDescent="0.3">
      <c r="A236" s="5" t="s">
        <v>42</v>
      </c>
      <c r="B236" s="6" t="s">
        <v>11</v>
      </c>
      <c r="C236" s="6">
        <v>17596153</v>
      </c>
      <c r="D236" s="6">
        <v>209861</v>
      </c>
      <c r="E236" s="6">
        <v>15582285</v>
      </c>
      <c r="F236" s="6"/>
      <c r="G236" s="7">
        <f t="shared" si="12"/>
        <v>1804007</v>
      </c>
      <c r="H236" s="12">
        <f t="shared" si="13"/>
        <v>1.1926527349472353</v>
      </c>
      <c r="I236" s="12">
        <f t="shared" si="14"/>
        <v>88.555066553467682</v>
      </c>
      <c r="J236">
        <f t="shared" si="15"/>
        <v>5720</v>
      </c>
      <c r="M236" s="5" t="s">
        <v>42</v>
      </c>
      <c r="N236" s="7">
        <v>1804007</v>
      </c>
    </row>
    <row r="237" spans="1:14" x14ac:dyDescent="0.3">
      <c r="A237" s="5" t="s">
        <v>42</v>
      </c>
      <c r="B237" s="6" t="s">
        <v>11</v>
      </c>
      <c r="C237" s="6">
        <v>17633124</v>
      </c>
      <c r="D237" s="6">
        <v>424715</v>
      </c>
      <c r="E237" s="6">
        <v>15524400</v>
      </c>
      <c r="F237" s="6"/>
      <c r="G237" s="7">
        <f t="shared" si="12"/>
        <v>1684009</v>
      </c>
      <c r="H237" s="12">
        <f t="shared" si="13"/>
        <v>2.40862027624827</v>
      </c>
      <c r="I237" s="12">
        <f t="shared" si="14"/>
        <v>88.041120790621108</v>
      </c>
      <c r="J237">
        <f t="shared" si="15"/>
        <v>36971</v>
      </c>
      <c r="M237" s="5" t="s">
        <v>42</v>
      </c>
      <c r="N237" s="7">
        <v>1684009</v>
      </c>
    </row>
    <row r="238" spans="1:14" x14ac:dyDescent="0.3">
      <c r="A238" s="5" t="s">
        <v>42</v>
      </c>
      <c r="B238" s="6" t="s">
        <v>11</v>
      </c>
      <c r="C238" s="6">
        <v>17647025</v>
      </c>
      <c r="D238" s="6">
        <v>428695</v>
      </c>
      <c r="E238" s="6">
        <v>14170654</v>
      </c>
      <c r="F238" s="6"/>
      <c r="G238" s="7">
        <f t="shared" si="12"/>
        <v>3047676</v>
      </c>
      <c r="H238" s="12">
        <f t="shared" si="13"/>
        <v>2.4292763227796188</v>
      </c>
      <c r="I238" s="12">
        <f t="shared" si="14"/>
        <v>80.300526576009261</v>
      </c>
      <c r="J238">
        <f t="shared" si="15"/>
        <v>13901</v>
      </c>
      <c r="M238" s="5" t="s">
        <v>42</v>
      </c>
      <c r="N238" s="7">
        <v>3047676</v>
      </c>
    </row>
    <row r="239" spans="1:14" x14ac:dyDescent="0.3">
      <c r="A239" s="5" t="s">
        <v>42</v>
      </c>
      <c r="B239" s="6" t="s">
        <v>11</v>
      </c>
      <c r="C239" s="6">
        <v>17655251</v>
      </c>
      <c r="D239" s="6">
        <v>220829</v>
      </c>
      <c r="E239" s="6">
        <v>15775958</v>
      </c>
      <c r="F239" s="6"/>
      <c r="G239" s="7">
        <f t="shared" si="12"/>
        <v>1658464</v>
      </c>
      <c r="H239" s="12">
        <f t="shared" si="13"/>
        <v>1.2507836903593159</v>
      </c>
      <c r="I239" s="12">
        <f t="shared" si="14"/>
        <v>89.355614372177442</v>
      </c>
      <c r="J239">
        <f t="shared" si="15"/>
        <v>8226</v>
      </c>
      <c r="M239" s="5" t="s">
        <v>42</v>
      </c>
      <c r="N239" s="7">
        <v>1658464</v>
      </c>
    </row>
    <row r="240" spans="1:14" x14ac:dyDescent="0.3">
      <c r="A240" s="5" t="s">
        <v>42</v>
      </c>
      <c r="B240" s="6" t="s">
        <v>11</v>
      </c>
      <c r="C240" s="6">
        <v>17685611</v>
      </c>
      <c r="D240" s="6">
        <v>224944</v>
      </c>
      <c r="E240" s="6">
        <v>14007730</v>
      </c>
      <c r="F240" s="6"/>
      <c r="G240" s="7">
        <f t="shared" si="12"/>
        <v>3452937</v>
      </c>
      <c r="H240" s="12">
        <f t="shared" si="13"/>
        <v>1.2719040354330988</v>
      </c>
      <c r="I240" s="12">
        <f t="shared" si="14"/>
        <v>79.204105529630837</v>
      </c>
      <c r="J240">
        <f t="shared" si="15"/>
        <v>30360</v>
      </c>
      <c r="M240" s="5" t="s">
        <v>42</v>
      </c>
      <c r="N240" s="7">
        <v>3452937</v>
      </c>
    </row>
    <row r="241" spans="1:14" x14ac:dyDescent="0.3">
      <c r="A241" s="5" t="s">
        <v>42</v>
      </c>
      <c r="B241" s="6" t="s">
        <v>11</v>
      </c>
      <c r="C241" s="6">
        <v>17708813</v>
      </c>
      <c r="D241" s="6">
        <v>530117</v>
      </c>
      <c r="E241" s="6">
        <v>14233210</v>
      </c>
      <c r="F241" s="6"/>
      <c r="G241" s="7">
        <f t="shared" si="12"/>
        <v>2945486</v>
      </c>
      <c r="H241" s="12">
        <f t="shared" si="13"/>
        <v>2.9935207966790318</v>
      </c>
      <c r="I241" s="12">
        <f t="shared" si="14"/>
        <v>80.373597033296363</v>
      </c>
      <c r="J241">
        <f t="shared" si="15"/>
        <v>23202</v>
      </c>
      <c r="M241" s="5" t="s">
        <v>42</v>
      </c>
      <c r="N241" s="7">
        <v>2945486</v>
      </c>
    </row>
    <row r="242" spans="1:14" x14ac:dyDescent="0.3">
      <c r="A242" s="5" t="s">
        <v>43</v>
      </c>
      <c r="B242" s="6" t="s">
        <v>11</v>
      </c>
      <c r="C242" s="6">
        <v>17758798</v>
      </c>
      <c r="D242" s="6">
        <v>356198</v>
      </c>
      <c r="E242" s="6">
        <v>15909699</v>
      </c>
      <c r="F242" s="6"/>
      <c r="G242" s="7">
        <f t="shared" si="12"/>
        <v>1492901</v>
      </c>
      <c r="H242" s="12">
        <f t="shared" si="13"/>
        <v>2.0057551192372367</v>
      </c>
      <c r="I242" s="12">
        <f t="shared" si="14"/>
        <v>89.58770182531498</v>
      </c>
      <c r="J242">
        <f t="shared" si="15"/>
        <v>49985</v>
      </c>
      <c r="M242" s="5" t="s">
        <v>43</v>
      </c>
      <c r="N242" s="7">
        <v>1492901</v>
      </c>
    </row>
    <row r="243" spans="1:14" x14ac:dyDescent="0.3">
      <c r="A243" s="5" t="s">
        <v>43</v>
      </c>
      <c r="B243" s="6" t="s">
        <v>11</v>
      </c>
      <c r="C243" s="6">
        <v>17778552</v>
      </c>
      <c r="D243" s="6">
        <v>199186</v>
      </c>
      <c r="E243" s="6">
        <v>13475099</v>
      </c>
      <c r="F243" s="6"/>
      <c r="G243" s="7">
        <f t="shared" si="12"/>
        <v>4104267</v>
      </c>
      <c r="H243" s="12">
        <f t="shared" si="13"/>
        <v>1.1203724577794636</v>
      </c>
      <c r="I243" s="12">
        <f t="shared" si="14"/>
        <v>75.794131040593186</v>
      </c>
      <c r="J243">
        <f t="shared" si="15"/>
        <v>19754</v>
      </c>
      <c r="M243" s="5" t="s">
        <v>43</v>
      </c>
      <c r="N243" s="7">
        <v>4104267</v>
      </c>
    </row>
    <row r="244" spans="1:14" x14ac:dyDescent="0.3">
      <c r="A244" s="5" t="s">
        <v>43</v>
      </c>
      <c r="B244" s="6" t="s">
        <v>11</v>
      </c>
      <c r="C244" s="6">
        <v>17802364</v>
      </c>
      <c r="D244" s="6">
        <v>443976</v>
      </c>
      <c r="E244" s="6">
        <v>14394520</v>
      </c>
      <c r="F244" s="6"/>
      <c r="G244" s="7">
        <f t="shared" si="12"/>
        <v>2963868</v>
      </c>
      <c r="H244" s="12">
        <f t="shared" si="13"/>
        <v>2.4939159765523278</v>
      </c>
      <c r="I244" s="12">
        <f t="shared" si="14"/>
        <v>80.857351304579552</v>
      </c>
      <c r="J244">
        <f t="shared" si="15"/>
        <v>23812</v>
      </c>
      <c r="M244" s="5" t="s">
        <v>43</v>
      </c>
      <c r="N244" s="7">
        <v>2963868</v>
      </c>
    </row>
    <row r="245" spans="1:14" x14ac:dyDescent="0.3">
      <c r="A245" s="5" t="s">
        <v>43</v>
      </c>
      <c r="B245" s="6" t="s">
        <v>11</v>
      </c>
      <c r="C245" s="6">
        <v>17837489</v>
      </c>
      <c r="D245" s="6">
        <v>341543</v>
      </c>
      <c r="E245" s="6">
        <v>15891535</v>
      </c>
      <c r="F245" s="6"/>
      <c r="G245" s="7">
        <f t="shared" si="12"/>
        <v>1604411</v>
      </c>
      <c r="H245" s="12">
        <f t="shared" si="13"/>
        <v>1.914748202507651</v>
      </c>
      <c r="I245" s="12">
        <f t="shared" si="14"/>
        <v>89.090650595495816</v>
      </c>
      <c r="J245">
        <f t="shared" si="15"/>
        <v>35125</v>
      </c>
      <c r="M245" s="5" t="s">
        <v>43</v>
      </c>
      <c r="N245" s="7">
        <v>1604411</v>
      </c>
    </row>
    <row r="246" spans="1:14" x14ac:dyDescent="0.3">
      <c r="A246" s="5" t="s">
        <v>43</v>
      </c>
      <c r="B246" s="6" t="s">
        <v>11</v>
      </c>
      <c r="C246" s="6">
        <v>17862744</v>
      </c>
      <c r="D246" s="6">
        <v>505578</v>
      </c>
      <c r="E246" s="6">
        <v>12868905</v>
      </c>
      <c r="F246" s="6"/>
      <c r="G246" s="7">
        <f t="shared" si="12"/>
        <v>4488261</v>
      </c>
      <c r="H246" s="12">
        <f t="shared" si="13"/>
        <v>2.8303490214045501</v>
      </c>
      <c r="I246" s="12">
        <f t="shared" si="14"/>
        <v>72.043270619564382</v>
      </c>
      <c r="J246">
        <f t="shared" si="15"/>
        <v>25255</v>
      </c>
      <c r="M246" s="5" t="s">
        <v>43</v>
      </c>
      <c r="N246" s="7">
        <v>4488261</v>
      </c>
    </row>
    <row r="247" spans="1:14" x14ac:dyDescent="0.3">
      <c r="A247" s="5" t="s">
        <v>43</v>
      </c>
      <c r="B247" s="6" t="s">
        <v>11</v>
      </c>
      <c r="C247" s="6">
        <v>17875438</v>
      </c>
      <c r="D247" s="6">
        <v>206948</v>
      </c>
      <c r="E247" s="6">
        <v>13299637</v>
      </c>
      <c r="F247" s="6"/>
      <c r="G247" s="7">
        <f t="shared" si="12"/>
        <v>4368853</v>
      </c>
      <c r="H247" s="12">
        <f t="shared" si="13"/>
        <v>1.1577226806973904</v>
      </c>
      <c r="I247" s="12">
        <f t="shared" si="14"/>
        <v>74.401740533574625</v>
      </c>
      <c r="J247">
        <f t="shared" si="15"/>
        <v>12694</v>
      </c>
      <c r="M247" s="5" t="s">
        <v>43</v>
      </c>
      <c r="N247" s="7">
        <v>4368853</v>
      </c>
    </row>
    <row r="248" spans="1:14" x14ac:dyDescent="0.3">
      <c r="A248" s="5" t="s">
        <v>43</v>
      </c>
      <c r="B248" s="6" t="s">
        <v>11</v>
      </c>
      <c r="C248" s="6">
        <v>17916914</v>
      </c>
      <c r="D248" s="6">
        <v>512496</v>
      </c>
      <c r="E248" s="6">
        <v>15611927</v>
      </c>
      <c r="F248" s="6"/>
      <c r="G248" s="7">
        <f t="shared" si="12"/>
        <v>1792491</v>
      </c>
      <c r="H248" s="12">
        <f t="shared" si="13"/>
        <v>2.86040330382788</v>
      </c>
      <c r="I248" s="12">
        <f t="shared" si="14"/>
        <v>87.135133874058894</v>
      </c>
      <c r="J248">
        <f t="shared" si="15"/>
        <v>41476</v>
      </c>
      <c r="M248" s="5" t="s">
        <v>43</v>
      </c>
      <c r="N248" s="7">
        <v>1792491</v>
      </c>
    </row>
    <row r="249" spans="1:14" x14ac:dyDescent="0.3">
      <c r="A249" s="5" t="s">
        <v>43</v>
      </c>
      <c r="B249" s="6" t="s">
        <v>11</v>
      </c>
      <c r="C249" s="6">
        <v>17935196</v>
      </c>
      <c r="D249" s="6">
        <v>320489</v>
      </c>
      <c r="E249" s="6">
        <v>15490029</v>
      </c>
      <c r="F249" s="6"/>
      <c r="G249" s="7">
        <f t="shared" si="12"/>
        <v>2124678</v>
      </c>
      <c r="H249" s="12">
        <f t="shared" si="13"/>
        <v>1.7869277815530982</v>
      </c>
      <c r="I249" s="12">
        <f t="shared" si="14"/>
        <v>86.366655820209601</v>
      </c>
      <c r="J249">
        <f t="shared" si="15"/>
        <v>18282</v>
      </c>
      <c r="M249" s="5" t="s">
        <v>43</v>
      </c>
      <c r="N249" s="7">
        <v>2124678</v>
      </c>
    </row>
    <row r="250" spans="1:14" x14ac:dyDescent="0.3">
      <c r="A250" s="5" t="s">
        <v>44</v>
      </c>
      <c r="B250" s="6" t="s">
        <v>11</v>
      </c>
      <c r="C250" s="6">
        <v>17964952</v>
      </c>
      <c r="D250" s="6">
        <v>459371</v>
      </c>
      <c r="E250" s="6">
        <v>15451769</v>
      </c>
      <c r="F250" s="6"/>
      <c r="G250" s="7">
        <f t="shared" si="12"/>
        <v>2053812</v>
      </c>
      <c r="H250" s="12">
        <f t="shared" si="13"/>
        <v>2.557039952013231</v>
      </c>
      <c r="I250" s="12">
        <f t="shared" si="14"/>
        <v>86.010633371021527</v>
      </c>
      <c r="J250">
        <f t="shared" si="15"/>
        <v>29756</v>
      </c>
      <c r="M250" s="5" t="s">
        <v>44</v>
      </c>
      <c r="N250" s="7">
        <v>2053812</v>
      </c>
    </row>
    <row r="251" spans="1:14" x14ac:dyDescent="0.3">
      <c r="A251" s="5" t="s">
        <v>44</v>
      </c>
      <c r="B251" s="6" t="s">
        <v>11</v>
      </c>
      <c r="C251" s="6">
        <v>17992805</v>
      </c>
      <c r="D251" s="6">
        <v>470889</v>
      </c>
      <c r="E251" s="6">
        <v>14829122</v>
      </c>
      <c r="F251" s="6"/>
      <c r="G251" s="7">
        <f t="shared" si="12"/>
        <v>2692794</v>
      </c>
      <c r="H251" s="12">
        <f t="shared" si="13"/>
        <v>2.617096111473447</v>
      </c>
      <c r="I251" s="12">
        <f t="shared" si="14"/>
        <v>82.416954999512299</v>
      </c>
      <c r="J251">
        <f t="shared" si="15"/>
        <v>27853</v>
      </c>
      <c r="M251" s="5" t="s">
        <v>44</v>
      </c>
      <c r="N251" s="7">
        <v>2692794</v>
      </c>
    </row>
    <row r="252" spans="1:14" x14ac:dyDescent="0.3">
      <c r="A252" s="5" t="s">
        <v>44</v>
      </c>
      <c r="B252" s="6" t="s">
        <v>11</v>
      </c>
      <c r="C252" s="6">
        <v>18016212</v>
      </c>
      <c r="D252" s="6">
        <v>234209</v>
      </c>
      <c r="E252" s="6">
        <v>15289411</v>
      </c>
      <c r="F252" s="6"/>
      <c r="G252" s="7">
        <f t="shared" si="12"/>
        <v>2492592</v>
      </c>
      <c r="H252" s="12">
        <f t="shared" si="13"/>
        <v>1.2999902532230414</v>
      </c>
      <c r="I252" s="12">
        <f t="shared" si="14"/>
        <v>84.864737382086759</v>
      </c>
      <c r="J252">
        <f t="shared" si="15"/>
        <v>23407</v>
      </c>
      <c r="M252" s="5" t="s">
        <v>44</v>
      </c>
      <c r="N252" s="7">
        <v>2492592</v>
      </c>
    </row>
    <row r="253" spans="1:14" x14ac:dyDescent="0.3">
      <c r="A253" s="5" t="s">
        <v>44</v>
      </c>
      <c r="B253" s="6" t="s">
        <v>11</v>
      </c>
      <c r="C253" s="6">
        <v>18034708</v>
      </c>
      <c r="D253" s="6">
        <v>406883</v>
      </c>
      <c r="E253" s="6">
        <v>13733268</v>
      </c>
      <c r="F253" s="6"/>
      <c r="G253" s="7">
        <f t="shared" si="12"/>
        <v>3894557</v>
      </c>
      <c r="H253" s="12">
        <f t="shared" si="13"/>
        <v>2.2561108280766176</v>
      </c>
      <c r="I253" s="12">
        <f t="shared" si="14"/>
        <v>76.149100944689536</v>
      </c>
      <c r="J253">
        <f t="shared" si="15"/>
        <v>18496</v>
      </c>
      <c r="M253" s="5" t="s">
        <v>44</v>
      </c>
      <c r="N253" s="7">
        <v>3894557</v>
      </c>
    </row>
    <row r="254" spans="1:14" x14ac:dyDescent="0.3">
      <c r="A254" s="5" t="s">
        <v>44</v>
      </c>
      <c r="B254" s="6" t="s">
        <v>11</v>
      </c>
      <c r="C254" s="6">
        <v>18051082</v>
      </c>
      <c r="D254" s="6">
        <v>498382</v>
      </c>
      <c r="E254" s="6">
        <v>13508707</v>
      </c>
      <c r="F254" s="6"/>
      <c r="G254" s="7">
        <f t="shared" si="12"/>
        <v>4043993</v>
      </c>
      <c r="H254" s="12">
        <f t="shared" si="13"/>
        <v>2.7609536093182672</v>
      </c>
      <c r="I254" s="12">
        <f t="shared" si="14"/>
        <v>74.83599598073954</v>
      </c>
      <c r="J254">
        <f t="shared" si="15"/>
        <v>16374</v>
      </c>
      <c r="M254" s="5" t="s">
        <v>44</v>
      </c>
      <c r="N254" s="7">
        <v>4043993</v>
      </c>
    </row>
    <row r="255" spans="1:14" x14ac:dyDescent="0.3">
      <c r="A255" s="5" t="s">
        <v>44</v>
      </c>
      <c r="B255" s="6" t="s">
        <v>11</v>
      </c>
      <c r="C255" s="6">
        <v>18070404</v>
      </c>
      <c r="D255" s="6">
        <v>441093</v>
      </c>
      <c r="E255" s="6">
        <v>13697139</v>
      </c>
      <c r="F255" s="6"/>
      <c r="G255" s="7">
        <f t="shared" si="12"/>
        <v>3932172</v>
      </c>
      <c r="H255" s="12">
        <f t="shared" si="13"/>
        <v>2.4409692223815251</v>
      </c>
      <c r="I255" s="12">
        <f t="shared" si="14"/>
        <v>75.798742518429592</v>
      </c>
      <c r="J255">
        <f t="shared" si="15"/>
        <v>19322</v>
      </c>
      <c r="M255" s="5" t="s">
        <v>44</v>
      </c>
      <c r="N255" s="7">
        <v>3932172</v>
      </c>
    </row>
    <row r="256" spans="1:14" x14ac:dyDescent="0.3">
      <c r="A256" s="5" t="s">
        <v>44</v>
      </c>
      <c r="B256" s="6" t="s">
        <v>11</v>
      </c>
      <c r="C256" s="6">
        <v>18094814</v>
      </c>
      <c r="D256" s="6">
        <v>528704</v>
      </c>
      <c r="E256" s="6">
        <v>15776475</v>
      </c>
      <c r="F256" s="6"/>
      <c r="G256" s="7">
        <f t="shared" si="12"/>
        <v>1789635</v>
      </c>
      <c r="H256" s="12">
        <f t="shared" si="13"/>
        <v>2.9218537421827047</v>
      </c>
      <c r="I256" s="12">
        <f t="shared" si="14"/>
        <v>87.187826302055385</v>
      </c>
      <c r="J256">
        <f t="shared" si="15"/>
        <v>24410</v>
      </c>
      <c r="M256" s="5" t="s">
        <v>44</v>
      </c>
      <c r="N256" s="7">
        <v>1789635</v>
      </c>
    </row>
    <row r="257" spans="1:14" x14ac:dyDescent="0.3">
      <c r="A257" s="5" t="s">
        <v>44</v>
      </c>
      <c r="B257" s="6" t="s">
        <v>11</v>
      </c>
      <c r="C257" s="6">
        <v>18116265</v>
      </c>
      <c r="D257" s="6">
        <v>339950</v>
      </c>
      <c r="E257" s="6">
        <v>13714083</v>
      </c>
      <c r="F257" s="6"/>
      <c r="G257" s="7">
        <f t="shared" si="12"/>
        <v>4062232</v>
      </c>
      <c r="H257" s="12">
        <f t="shared" si="13"/>
        <v>1.8764905459265471</v>
      </c>
      <c r="I257" s="12">
        <f t="shared" si="14"/>
        <v>75.700388573472509</v>
      </c>
      <c r="J257">
        <f t="shared" si="15"/>
        <v>21451</v>
      </c>
      <c r="M257" s="5" t="s">
        <v>44</v>
      </c>
      <c r="N257" s="7">
        <v>4062232</v>
      </c>
    </row>
    <row r="258" spans="1:14" x14ac:dyDescent="0.3">
      <c r="A258" s="5" t="s">
        <v>45</v>
      </c>
      <c r="B258" s="6" t="s">
        <v>11</v>
      </c>
      <c r="C258" s="6">
        <v>18154248</v>
      </c>
      <c r="D258" s="6">
        <v>496832</v>
      </c>
      <c r="E258" s="6">
        <v>14714583</v>
      </c>
      <c r="F258" s="6"/>
      <c r="G258" s="7">
        <f t="shared" si="12"/>
        <v>2942833</v>
      </c>
      <c r="H258" s="12">
        <f t="shared" si="13"/>
        <v>2.7367258616275376</v>
      </c>
      <c r="I258" s="12">
        <f t="shared" si="14"/>
        <v>81.053112197211362</v>
      </c>
      <c r="J258">
        <f t="shared" si="15"/>
        <v>37983</v>
      </c>
      <c r="M258" s="5" t="s">
        <v>45</v>
      </c>
      <c r="N258" s="7">
        <v>2942833</v>
      </c>
    </row>
    <row r="259" spans="1:14" x14ac:dyDescent="0.3">
      <c r="A259" s="5" t="s">
        <v>45</v>
      </c>
      <c r="B259" s="6" t="s">
        <v>11</v>
      </c>
      <c r="C259" s="6">
        <v>18167212</v>
      </c>
      <c r="D259" s="6">
        <v>290875</v>
      </c>
      <c r="E259" s="6">
        <v>14241334</v>
      </c>
      <c r="F259" s="6"/>
      <c r="G259" s="7">
        <f t="shared" ref="G259:G322" si="16" xml:space="preserve"> C259-D259-E259</f>
        <v>3635003</v>
      </c>
      <c r="H259" s="12">
        <f t="shared" ref="H259:H322" si="17">D259/C259*100</f>
        <v>1.6010987266510679</v>
      </c>
      <c r="I259" s="12">
        <f t="shared" ref="I259:I322" si="18">E259/C259*100</f>
        <v>78.390311072496971</v>
      </c>
      <c r="J259">
        <f t="shared" ref="J259:J322" si="19">IF(B259=B258,C259-C258,"")</f>
        <v>12964</v>
      </c>
      <c r="M259" s="5" t="s">
        <v>45</v>
      </c>
      <c r="N259" s="7">
        <v>3635003</v>
      </c>
    </row>
    <row r="260" spans="1:14" x14ac:dyDescent="0.3">
      <c r="A260" s="5" t="s">
        <v>45</v>
      </c>
      <c r="B260" s="6" t="s">
        <v>11</v>
      </c>
      <c r="C260" s="6">
        <v>18187137</v>
      </c>
      <c r="D260" s="6">
        <v>184786</v>
      </c>
      <c r="E260" s="6">
        <v>13068487</v>
      </c>
      <c r="F260" s="6"/>
      <c r="G260" s="7">
        <f t="shared" si="16"/>
        <v>4933864</v>
      </c>
      <c r="H260" s="12">
        <f t="shared" si="17"/>
        <v>1.0160257768993548</v>
      </c>
      <c r="I260" s="12">
        <f t="shared" si="18"/>
        <v>71.855658205026998</v>
      </c>
      <c r="J260">
        <f t="shared" si="19"/>
        <v>19925</v>
      </c>
      <c r="M260" s="5" t="s">
        <v>45</v>
      </c>
      <c r="N260" s="7">
        <v>4933864</v>
      </c>
    </row>
    <row r="261" spans="1:14" x14ac:dyDescent="0.3">
      <c r="A261" s="5" t="s">
        <v>45</v>
      </c>
      <c r="B261" s="6" t="s">
        <v>11</v>
      </c>
      <c r="C261" s="6">
        <v>18189283</v>
      </c>
      <c r="D261" s="6">
        <v>365636</v>
      </c>
      <c r="E261" s="6">
        <v>15223599</v>
      </c>
      <c r="F261" s="6"/>
      <c r="G261" s="7">
        <f t="shared" si="16"/>
        <v>2600048</v>
      </c>
      <c r="H261" s="12">
        <f t="shared" si="17"/>
        <v>2.0101726934481148</v>
      </c>
      <c r="I261" s="12">
        <f t="shared" si="18"/>
        <v>83.69543208492604</v>
      </c>
      <c r="J261">
        <f t="shared" si="19"/>
        <v>2146</v>
      </c>
      <c r="M261" s="5" t="s">
        <v>45</v>
      </c>
      <c r="N261" s="7">
        <v>2600048</v>
      </c>
    </row>
    <row r="262" spans="1:14" x14ac:dyDescent="0.3">
      <c r="A262" s="5" t="s">
        <v>45</v>
      </c>
      <c r="B262" s="6" t="s">
        <v>11</v>
      </c>
      <c r="C262" s="6">
        <v>18193069</v>
      </c>
      <c r="D262" s="6">
        <v>319242</v>
      </c>
      <c r="E262" s="6">
        <v>15436356</v>
      </c>
      <c r="F262" s="6"/>
      <c r="G262" s="7">
        <f t="shared" si="16"/>
        <v>2437471</v>
      </c>
      <c r="H262" s="12">
        <f t="shared" si="17"/>
        <v>1.7547451724610068</v>
      </c>
      <c r="I262" s="12">
        <f t="shared" si="18"/>
        <v>84.84745481919515</v>
      </c>
      <c r="J262">
        <f t="shared" si="19"/>
        <v>3786</v>
      </c>
      <c r="M262" s="5" t="s">
        <v>45</v>
      </c>
      <c r="N262" s="7">
        <v>2437471</v>
      </c>
    </row>
    <row r="263" spans="1:14" x14ac:dyDescent="0.3">
      <c r="A263" s="5" t="s">
        <v>45</v>
      </c>
      <c r="B263" s="6" t="s">
        <v>11</v>
      </c>
      <c r="C263" s="6">
        <v>18198345</v>
      </c>
      <c r="D263" s="6">
        <v>405435</v>
      </c>
      <c r="E263" s="6">
        <v>13393230</v>
      </c>
      <c r="F263" s="6"/>
      <c r="G263" s="7">
        <f t="shared" si="16"/>
        <v>4399680</v>
      </c>
      <c r="H263" s="12">
        <f t="shared" si="17"/>
        <v>2.2278674242080805</v>
      </c>
      <c r="I263" s="12">
        <f t="shared" si="18"/>
        <v>73.595868195706799</v>
      </c>
      <c r="J263">
        <f t="shared" si="19"/>
        <v>5276</v>
      </c>
      <c r="M263" s="5" t="s">
        <v>45</v>
      </c>
      <c r="N263" s="7">
        <v>4399680</v>
      </c>
    </row>
    <row r="264" spans="1:14" x14ac:dyDescent="0.3">
      <c r="A264" s="5" t="s">
        <v>45</v>
      </c>
      <c r="B264" s="6" t="s">
        <v>11</v>
      </c>
      <c r="C264" s="6">
        <v>18199768</v>
      </c>
      <c r="D264" s="6">
        <v>185277</v>
      </c>
      <c r="E264" s="6">
        <v>15024552</v>
      </c>
      <c r="F264" s="6"/>
      <c r="G264" s="7">
        <f t="shared" si="16"/>
        <v>2989939</v>
      </c>
      <c r="H264" s="12">
        <f t="shared" si="17"/>
        <v>1.0180184714442513</v>
      </c>
      <c r="I264" s="12">
        <f t="shared" si="18"/>
        <v>82.55353584727014</v>
      </c>
      <c r="J264">
        <f t="shared" si="19"/>
        <v>1423</v>
      </c>
      <c r="M264" s="5" t="s">
        <v>45</v>
      </c>
      <c r="N264" s="7">
        <v>2989939</v>
      </c>
    </row>
    <row r="265" spans="1:14" x14ac:dyDescent="0.3">
      <c r="A265" s="5" t="s">
        <v>45</v>
      </c>
      <c r="B265" s="6" t="s">
        <v>11</v>
      </c>
      <c r="C265" s="6">
        <v>18234581</v>
      </c>
      <c r="D265" s="6">
        <v>205662</v>
      </c>
      <c r="E265" s="6">
        <v>14100201</v>
      </c>
      <c r="F265" s="6"/>
      <c r="G265" s="7">
        <f t="shared" si="16"/>
        <v>3928718</v>
      </c>
      <c r="H265" s="12">
        <f t="shared" si="17"/>
        <v>1.1278679778822447</v>
      </c>
      <c r="I265" s="12">
        <f t="shared" si="18"/>
        <v>77.326706876346648</v>
      </c>
      <c r="J265">
        <f t="shared" si="19"/>
        <v>34813</v>
      </c>
      <c r="M265" s="5" t="s">
        <v>45</v>
      </c>
      <c r="N265" s="7">
        <v>3928718</v>
      </c>
    </row>
    <row r="266" spans="1:14" x14ac:dyDescent="0.3">
      <c r="A266" s="5" t="s">
        <v>46</v>
      </c>
      <c r="B266" s="6" t="s">
        <v>11</v>
      </c>
      <c r="C266" s="6">
        <v>18249102</v>
      </c>
      <c r="D266" s="6">
        <v>345394</v>
      </c>
      <c r="E266" s="6">
        <v>13922302</v>
      </c>
      <c r="F266" s="6"/>
      <c r="G266" s="7">
        <f t="shared" si="16"/>
        <v>3981406</v>
      </c>
      <c r="H266" s="12">
        <f t="shared" si="17"/>
        <v>1.8926629924036809</v>
      </c>
      <c r="I266" s="12">
        <f t="shared" si="18"/>
        <v>76.290340204137166</v>
      </c>
      <c r="J266">
        <f t="shared" si="19"/>
        <v>14521</v>
      </c>
      <c r="M266" s="5" t="s">
        <v>46</v>
      </c>
      <c r="N266" s="7">
        <v>3981406</v>
      </c>
    </row>
    <row r="267" spans="1:14" x14ac:dyDescent="0.3">
      <c r="A267" s="5" t="s">
        <v>46</v>
      </c>
      <c r="B267" s="6" t="s">
        <v>11</v>
      </c>
      <c r="C267" s="6">
        <v>18250385</v>
      </c>
      <c r="D267" s="6">
        <v>540842</v>
      </c>
      <c r="E267" s="6">
        <v>14442547</v>
      </c>
      <c r="F267" s="6"/>
      <c r="G267" s="7">
        <f t="shared" si="16"/>
        <v>3266996</v>
      </c>
      <c r="H267" s="12">
        <f t="shared" si="17"/>
        <v>2.963455291491111</v>
      </c>
      <c r="I267" s="12">
        <f t="shared" si="18"/>
        <v>79.135574400211283</v>
      </c>
      <c r="J267">
        <f t="shared" si="19"/>
        <v>1283</v>
      </c>
      <c r="M267" s="5" t="s">
        <v>46</v>
      </c>
      <c r="N267" s="7">
        <v>3266996</v>
      </c>
    </row>
    <row r="268" spans="1:14" x14ac:dyDescent="0.3">
      <c r="A268" s="5" t="s">
        <v>46</v>
      </c>
      <c r="B268" s="6" t="s">
        <v>11</v>
      </c>
      <c r="C268" s="6">
        <v>18261400</v>
      </c>
      <c r="D268" s="6">
        <v>277688</v>
      </c>
      <c r="E268" s="6">
        <v>12849675</v>
      </c>
      <c r="F268" s="6"/>
      <c r="G268" s="7">
        <f t="shared" si="16"/>
        <v>5134037</v>
      </c>
      <c r="H268" s="12">
        <f t="shared" si="17"/>
        <v>1.5206282103234146</v>
      </c>
      <c r="I268" s="12">
        <f t="shared" si="18"/>
        <v>70.365223914924385</v>
      </c>
      <c r="J268">
        <f t="shared" si="19"/>
        <v>11015</v>
      </c>
      <c r="M268" s="5" t="s">
        <v>46</v>
      </c>
      <c r="N268" s="7">
        <v>5134037</v>
      </c>
    </row>
    <row r="269" spans="1:14" x14ac:dyDescent="0.3">
      <c r="A269" s="5" t="s">
        <v>46</v>
      </c>
      <c r="B269" s="6" t="s">
        <v>11</v>
      </c>
      <c r="C269" s="6">
        <v>18292379</v>
      </c>
      <c r="D269" s="6">
        <v>436080</v>
      </c>
      <c r="E269" s="6">
        <v>12871795</v>
      </c>
      <c r="F269" s="6"/>
      <c r="G269" s="7">
        <f t="shared" si="16"/>
        <v>4984504</v>
      </c>
      <c r="H269" s="12">
        <f t="shared" si="17"/>
        <v>2.3839436084284062</v>
      </c>
      <c r="I269" s="12">
        <f t="shared" si="18"/>
        <v>70.366981790613465</v>
      </c>
      <c r="J269">
        <f t="shared" si="19"/>
        <v>30979</v>
      </c>
      <c r="M269" s="5" t="s">
        <v>46</v>
      </c>
      <c r="N269" s="7">
        <v>4984504</v>
      </c>
    </row>
    <row r="270" spans="1:14" x14ac:dyDescent="0.3">
      <c r="A270" s="5" t="s">
        <v>46</v>
      </c>
      <c r="B270" s="6" t="s">
        <v>11</v>
      </c>
      <c r="C270" s="6">
        <v>18305394</v>
      </c>
      <c r="D270" s="6">
        <v>351249</v>
      </c>
      <c r="E270" s="6">
        <v>15220211</v>
      </c>
      <c r="F270" s="6"/>
      <c r="G270" s="7">
        <f t="shared" si="16"/>
        <v>2733934</v>
      </c>
      <c r="H270" s="12">
        <f t="shared" si="17"/>
        <v>1.9188278602470945</v>
      </c>
      <c r="I270" s="12">
        <f t="shared" si="18"/>
        <v>83.14604427525569</v>
      </c>
      <c r="J270">
        <f t="shared" si="19"/>
        <v>13015</v>
      </c>
      <c r="M270" s="5" t="s">
        <v>46</v>
      </c>
      <c r="N270" s="7">
        <v>2733934</v>
      </c>
    </row>
    <row r="271" spans="1:14" x14ac:dyDescent="0.3">
      <c r="A271" s="5" t="s">
        <v>46</v>
      </c>
      <c r="B271" s="6" t="s">
        <v>11</v>
      </c>
      <c r="C271" s="6">
        <v>18326584</v>
      </c>
      <c r="D271" s="6">
        <v>310247</v>
      </c>
      <c r="E271" s="6">
        <v>15550306</v>
      </c>
      <c r="F271" s="6"/>
      <c r="G271" s="7">
        <f t="shared" si="16"/>
        <v>2466031</v>
      </c>
      <c r="H271" s="12">
        <f t="shared" si="17"/>
        <v>1.6928795895623536</v>
      </c>
      <c r="I271" s="12">
        <f t="shared" si="18"/>
        <v>84.851088451617613</v>
      </c>
      <c r="J271">
        <f t="shared" si="19"/>
        <v>21190</v>
      </c>
      <c r="M271" s="5" t="s">
        <v>46</v>
      </c>
      <c r="N271" s="7">
        <v>2466031</v>
      </c>
    </row>
    <row r="272" spans="1:14" x14ac:dyDescent="0.3">
      <c r="A272" s="5" t="s">
        <v>46</v>
      </c>
      <c r="B272" s="6" t="s">
        <v>11</v>
      </c>
      <c r="C272" s="6">
        <v>18347499</v>
      </c>
      <c r="D272" s="6">
        <v>383656</v>
      </c>
      <c r="E272" s="6">
        <v>14915786</v>
      </c>
      <c r="F272" s="6"/>
      <c r="G272" s="7">
        <f t="shared" si="16"/>
        <v>3048057</v>
      </c>
      <c r="H272" s="12">
        <f t="shared" si="17"/>
        <v>2.0910533909826072</v>
      </c>
      <c r="I272" s="12">
        <f t="shared" si="18"/>
        <v>81.296017511705543</v>
      </c>
      <c r="J272">
        <f t="shared" si="19"/>
        <v>20915</v>
      </c>
      <c r="M272" s="5" t="s">
        <v>46</v>
      </c>
      <c r="N272" s="7">
        <v>3048057</v>
      </c>
    </row>
    <row r="273" spans="1:14" x14ac:dyDescent="0.3">
      <c r="A273" s="5" t="s">
        <v>46</v>
      </c>
      <c r="B273" s="6" t="s">
        <v>11</v>
      </c>
      <c r="C273" s="6">
        <v>18350250</v>
      </c>
      <c r="D273" s="6">
        <v>365947</v>
      </c>
      <c r="E273" s="6">
        <v>16507372</v>
      </c>
      <c r="F273" s="6"/>
      <c r="G273" s="7">
        <f t="shared" si="16"/>
        <v>1476931</v>
      </c>
      <c r="H273" s="12">
        <f t="shared" si="17"/>
        <v>1.9942344109753274</v>
      </c>
      <c r="I273" s="12">
        <f t="shared" si="18"/>
        <v>89.957204942711954</v>
      </c>
      <c r="J273">
        <f t="shared" si="19"/>
        <v>2751</v>
      </c>
      <c r="M273" s="5" t="s">
        <v>46</v>
      </c>
      <c r="N273" s="7">
        <v>1476931</v>
      </c>
    </row>
    <row r="274" spans="1:14" x14ac:dyDescent="0.3">
      <c r="A274" s="5" t="s">
        <v>47</v>
      </c>
      <c r="B274" s="6" t="s">
        <v>11</v>
      </c>
      <c r="C274" s="6">
        <v>18387081</v>
      </c>
      <c r="D274" s="6">
        <v>488315</v>
      </c>
      <c r="E274" s="6">
        <v>16230266</v>
      </c>
      <c r="F274" s="6"/>
      <c r="G274" s="7">
        <f t="shared" si="16"/>
        <v>1668500</v>
      </c>
      <c r="H274" s="12">
        <f t="shared" si="17"/>
        <v>2.655750523968432</v>
      </c>
      <c r="I274" s="12">
        <f t="shared" si="18"/>
        <v>88.269943445618154</v>
      </c>
      <c r="J274">
        <f t="shared" si="19"/>
        <v>36831</v>
      </c>
      <c r="M274" s="5" t="s">
        <v>47</v>
      </c>
      <c r="N274" s="7">
        <v>1668500</v>
      </c>
    </row>
    <row r="275" spans="1:14" x14ac:dyDescent="0.3">
      <c r="A275" s="5" t="s">
        <v>47</v>
      </c>
      <c r="B275" s="6" t="s">
        <v>11</v>
      </c>
      <c r="C275" s="6">
        <v>18432602</v>
      </c>
      <c r="D275" s="6">
        <v>247092</v>
      </c>
      <c r="E275" s="6">
        <v>13713048</v>
      </c>
      <c r="F275" s="6"/>
      <c r="G275" s="7">
        <f t="shared" si="16"/>
        <v>4472462</v>
      </c>
      <c r="H275" s="12">
        <f t="shared" si="17"/>
        <v>1.3405161137857802</v>
      </c>
      <c r="I275" s="12">
        <f t="shared" si="18"/>
        <v>74.395617070232419</v>
      </c>
      <c r="J275">
        <f t="shared" si="19"/>
        <v>45521</v>
      </c>
      <c r="M275" s="5" t="s">
        <v>47</v>
      </c>
      <c r="N275" s="7">
        <v>4472462</v>
      </c>
    </row>
    <row r="276" spans="1:14" x14ac:dyDescent="0.3">
      <c r="A276" s="5" t="s">
        <v>47</v>
      </c>
      <c r="B276" s="6" t="s">
        <v>11</v>
      </c>
      <c r="C276" s="6">
        <v>18440143</v>
      </c>
      <c r="D276" s="6">
        <v>272204</v>
      </c>
      <c r="E276" s="6">
        <v>13231443</v>
      </c>
      <c r="F276" s="6"/>
      <c r="G276" s="7">
        <f t="shared" si="16"/>
        <v>4936496</v>
      </c>
      <c r="H276" s="12">
        <f t="shared" si="17"/>
        <v>1.4761490732474256</v>
      </c>
      <c r="I276" s="12">
        <f t="shared" si="18"/>
        <v>71.753472844543566</v>
      </c>
      <c r="J276">
        <f t="shared" si="19"/>
        <v>7541</v>
      </c>
      <c r="M276" s="5" t="s">
        <v>47</v>
      </c>
      <c r="N276" s="7">
        <v>4936496</v>
      </c>
    </row>
    <row r="277" spans="1:14" x14ac:dyDescent="0.3">
      <c r="A277" s="5" t="s">
        <v>47</v>
      </c>
      <c r="B277" s="6" t="s">
        <v>11</v>
      </c>
      <c r="C277" s="6">
        <v>18485541</v>
      </c>
      <c r="D277" s="6">
        <v>252365</v>
      </c>
      <c r="E277" s="6">
        <v>16343889</v>
      </c>
      <c r="F277" s="6"/>
      <c r="G277" s="7">
        <f t="shared" si="16"/>
        <v>1889287</v>
      </c>
      <c r="H277" s="12">
        <f t="shared" si="17"/>
        <v>1.365202132845341</v>
      </c>
      <c r="I277" s="12">
        <f t="shared" si="18"/>
        <v>88.414447810859315</v>
      </c>
      <c r="J277">
        <f t="shared" si="19"/>
        <v>45398</v>
      </c>
      <c r="M277" s="5" t="s">
        <v>47</v>
      </c>
      <c r="N277" s="7">
        <v>1889287</v>
      </c>
    </row>
    <row r="278" spans="1:14" x14ac:dyDescent="0.3">
      <c r="A278" s="5" t="s">
        <v>47</v>
      </c>
      <c r="B278" s="6" t="s">
        <v>11</v>
      </c>
      <c r="C278" s="6">
        <v>18524319</v>
      </c>
      <c r="D278" s="6">
        <v>339309</v>
      </c>
      <c r="E278" s="6">
        <v>13614301</v>
      </c>
      <c r="F278" s="6"/>
      <c r="G278" s="7">
        <f t="shared" si="16"/>
        <v>4570709</v>
      </c>
      <c r="H278" s="12">
        <f t="shared" si="17"/>
        <v>1.831694865544045</v>
      </c>
      <c r="I278" s="12">
        <f t="shared" si="18"/>
        <v>73.494205104112069</v>
      </c>
      <c r="J278">
        <f t="shared" si="19"/>
        <v>38778</v>
      </c>
      <c r="M278" s="5" t="s">
        <v>47</v>
      </c>
      <c r="N278" s="7">
        <v>4570709</v>
      </c>
    </row>
    <row r="279" spans="1:14" x14ac:dyDescent="0.3">
      <c r="A279" s="5" t="s">
        <v>47</v>
      </c>
      <c r="B279" s="6" t="s">
        <v>11</v>
      </c>
      <c r="C279" s="6">
        <v>18533899</v>
      </c>
      <c r="D279" s="6">
        <v>529776</v>
      </c>
      <c r="E279" s="6">
        <v>14856848</v>
      </c>
      <c r="F279" s="6"/>
      <c r="G279" s="7">
        <f t="shared" si="16"/>
        <v>3147275</v>
      </c>
      <c r="H279" s="12">
        <f t="shared" si="17"/>
        <v>2.8584163537310738</v>
      </c>
      <c r="I279" s="12">
        <f t="shared" si="18"/>
        <v>80.160402298512579</v>
      </c>
      <c r="J279">
        <f t="shared" si="19"/>
        <v>9580</v>
      </c>
      <c r="M279" s="5" t="s">
        <v>47</v>
      </c>
      <c r="N279" s="7">
        <v>3147275</v>
      </c>
    </row>
    <row r="280" spans="1:14" x14ac:dyDescent="0.3">
      <c r="A280" s="5" t="s">
        <v>47</v>
      </c>
      <c r="B280" s="6" t="s">
        <v>11</v>
      </c>
      <c r="C280" s="6">
        <v>18543630</v>
      </c>
      <c r="D280" s="6">
        <v>198024</v>
      </c>
      <c r="E280" s="6">
        <v>14596656</v>
      </c>
      <c r="F280" s="6"/>
      <c r="G280" s="7">
        <f t="shared" si="16"/>
        <v>3748950</v>
      </c>
      <c r="H280" s="12">
        <f t="shared" si="17"/>
        <v>1.0678815312859458</v>
      </c>
      <c r="I280" s="12">
        <f t="shared" si="18"/>
        <v>78.715203010413816</v>
      </c>
      <c r="J280">
        <f t="shared" si="19"/>
        <v>9731</v>
      </c>
      <c r="M280" s="5" t="s">
        <v>47</v>
      </c>
      <c r="N280" s="7">
        <v>3748950</v>
      </c>
    </row>
    <row r="281" spans="1:14" x14ac:dyDescent="0.3">
      <c r="A281" s="5" t="s">
        <v>47</v>
      </c>
      <c r="B281" s="6" t="s">
        <v>11</v>
      </c>
      <c r="C281" s="6">
        <v>18557490</v>
      </c>
      <c r="D281" s="6">
        <v>546051</v>
      </c>
      <c r="E281" s="6">
        <v>14094768</v>
      </c>
      <c r="F281" s="6"/>
      <c r="G281" s="7">
        <f t="shared" si="16"/>
        <v>3916671</v>
      </c>
      <c r="H281" s="12">
        <f t="shared" si="17"/>
        <v>2.942483062095143</v>
      </c>
      <c r="I281" s="12">
        <f t="shared" si="18"/>
        <v>75.951909444650113</v>
      </c>
      <c r="J281">
        <f t="shared" si="19"/>
        <v>13860</v>
      </c>
      <c r="M281" s="5" t="s">
        <v>47</v>
      </c>
      <c r="N281" s="7">
        <v>3916671</v>
      </c>
    </row>
    <row r="282" spans="1:14" x14ac:dyDescent="0.3">
      <c r="A282" s="5" t="s">
        <v>48</v>
      </c>
      <c r="B282" s="6" t="s">
        <v>11</v>
      </c>
      <c r="C282" s="6">
        <v>18579704</v>
      </c>
      <c r="D282" s="6">
        <v>441890</v>
      </c>
      <c r="E282" s="6">
        <v>16176012</v>
      </c>
      <c r="F282" s="6"/>
      <c r="G282" s="7">
        <f t="shared" si="16"/>
        <v>1961802</v>
      </c>
      <c r="H282" s="12">
        <f t="shared" si="17"/>
        <v>2.3783479004832371</v>
      </c>
      <c r="I282" s="12">
        <f t="shared" si="18"/>
        <v>87.062807889727409</v>
      </c>
      <c r="J282">
        <f t="shared" si="19"/>
        <v>22214</v>
      </c>
      <c r="M282" s="5" t="s">
        <v>48</v>
      </c>
      <c r="N282" s="7">
        <v>1961802</v>
      </c>
    </row>
    <row r="283" spans="1:14" x14ac:dyDescent="0.3">
      <c r="A283" s="5" t="s">
        <v>48</v>
      </c>
      <c r="B283" s="6" t="s">
        <v>11</v>
      </c>
      <c r="C283" s="6">
        <v>18623050</v>
      </c>
      <c r="D283" s="6">
        <v>350593</v>
      </c>
      <c r="E283" s="6">
        <v>15047345</v>
      </c>
      <c r="F283" s="6"/>
      <c r="G283" s="7">
        <f t="shared" si="16"/>
        <v>3225112</v>
      </c>
      <c r="H283" s="12">
        <f t="shared" si="17"/>
        <v>1.8825756253674881</v>
      </c>
      <c r="I283" s="12">
        <f t="shared" si="18"/>
        <v>80.79957364663683</v>
      </c>
      <c r="J283">
        <f t="shared" si="19"/>
        <v>43346</v>
      </c>
      <c r="M283" s="5" t="s">
        <v>48</v>
      </c>
      <c r="N283" s="7">
        <v>3225112</v>
      </c>
    </row>
    <row r="284" spans="1:14" x14ac:dyDescent="0.3">
      <c r="A284" s="5" t="s">
        <v>48</v>
      </c>
      <c r="B284" s="6" t="s">
        <v>11</v>
      </c>
      <c r="C284" s="6">
        <v>18660219</v>
      </c>
      <c r="D284" s="6">
        <v>262866</v>
      </c>
      <c r="E284" s="6">
        <v>16772651</v>
      </c>
      <c r="F284" s="6"/>
      <c r="G284" s="7">
        <f t="shared" si="16"/>
        <v>1624702</v>
      </c>
      <c r="H284" s="12">
        <f t="shared" si="17"/>
        <v>1.4086972934240483</v>
      </c>
      <c r="I284" s="12">
        <f t="shared" si="18"/>
        <v>89.884534581292968</v>
      </c>
      <c r="J284">
        <f t="shared" si="19"/>
        <v>37169</v>
      </c>
      <c r="M284" s="5" t="s">
        <v>48</v>
      </c>
      <c r="N284" s="7">
        <v>1624702</v>
      </c>
    </row>
    <row r="285" spans="1:14" x14ac:dyDescent="0.3">
      <c r="A285" s="5" t="s">
        <v>48</v>
      </c>
      <c r="B285" s="6" t="s">
        <v>11</v>
      </c>
      <c r="C285" s="6">
        <v>18671945</v>
      </c>
      <c r="D285" s="6">
        <v>395893</v>
      </c>
      <c r="E285" s="6">
        <v>13088446</v>
      </c>
      <c r="F285" s="6"/>
      <c r="G285" s="7">
        <f t="shared" si="16"/>
        <v>5187606</v>
      </c>
      <c r="H285" s="12">
        <f t="shared" si="17"/>
        <v>2.1202558169489039</v>
      </c>
      <c r="I285" s="12">
        <f t="shared" si="18"/>
        <v>70.096853862840746</v>
      </c>
      <c r="J285">
        <f t="shared" si="19"/>
        <v>11726</v>
      </c>
      <c r="M285" s="5" t="s">
        <v>48</v>
      </c>
      <c r="N285" s="7">
        <v>5187606</v>
      </c>
    </row>
    <row r="286" spans="1:14" x14ac:dyDescent="0.3">
      <c r="A286" s="5" t="s">
        <v>48</v>
      </c>
      <c r="B286" s="6" t="s">
        <v>11</v>
      </c>
      <c r="C286" s="6">
        <v>18696968</v>
      </c>
      <c r="D286" s="6">
        <v>408766</v>
      </c>
      <c r="E286" s="6">
        <v>13713957</v>
      </c>
      <c r="F286" s="6"/>
      <c r="G286" s="7">
        <f t="shared" si="16"/>
        <v>4574245</v>
      </c>
      <c r="H286" s="12">
        <f t="shared" si="17"/>
        <v>2.1862689180406147</v>
      </c>
      <c r="I286" s="12">
        <f t="shared" si="18"/>
        <v>73.348561114294043</v>
      </c>
      <c r="J286">
        <f t="shared" si="19"/>
        <v>25023</v>
      </c>
      <c r="M286" s="5" t="s">
        <v>48</v>
      </c>
      <c r="N286" s="7">
        <v>4574245</v>
      </c>
    </row>
    <row r="287" spans="1:14" x14ac:dyDescent="0.3">
      <c r="A287" s="5" t="s">
        <v>48</v>
      </c>
      <c r="B287" s="6" t="s">
        <v>11</v>
      </c>
      <c r="C287" s="6">
        <v>18700389</v>
      </c>
      <c r="D287" s="6">
        <v>361355</v>
      </c>
      <c r="E287" s="6">
        <v>13277342</v>
      </c>
      <c r="F287" s="6"/>
      <c r="G287" s="7">
        <f t="shared" si="16"/>
        <v>5061692</v>
      </c>
      <c r="H287" s="12">
        <f t="shared" si="17"/>
        <v>1.9323394823498055</v>
      </c>
      <c r="I287" s="12">
        <f t="shared" si="18"/>
        <v>71.000351917813049</v>
      </c>
      <c r="J287">
        <f t="shared" si="19"/>
        <v>3421</v>
      </c>
      <c r="M287" s="5" t="s">
        <v>48</v>
      </c>
      <c r="N287" s="7">
        <v>5061692</v>
      </c>
    </row>
    <row r="288" spans="1:14" x14ac:dyDescent="0.3">
      <c r="A288" s="5" t="s">
        <v>48</v>
      </c>
      <c r="B288" s="6" t="s">
        <v>11</v>
      </c>
      <c r="C288" s="6">
        <v>18709259</v>
      </c>
      <c r="D288" s="6">
        <v>260124</v>
      </c>
      <c r="E288" s="6">
        <v>16258700</v>
      </c>
      <c r="F288" s="6"/>
      <c r="G288" s="7">
        <f t="shared" si="16"/>
        <v>2190435</v>
      </c>
      <c r="H288" s="12">
        <f t="shared" si="17"/>
        <v>1.3903490245124086</v>
      </c>
      <c r="I288" s="12">
        <f t="shared" si="18"/>
        <v>86.901891731789064</v>
      </c>
      <c r="J288">
        <f t="shared" si="19"/>
        <v>8870</v>
      </c>
      <c r="M288" s="5" t="s">
        <v>48</v>
      </c>
      <c r="N288" s="7">
        <v>2190435</v>
      </c>
    </row>
    <row r="289" spans="1:14" x14ac:dyDescent="0.3">
      <c r="A289" s="5" t="s">
        <v>48</v>
      </c>
      <c r="B289" s="6" t="s">
        <v>11</v>
      </c>
      <c r="C289" s="6">
        <v>18746041</v>
      </c>
      <c r="D289" s="6">
        <v>338729</v>
      </c>
      <c r="E289" s="6">
        <v>16412690</v>
      </c>
      <c r="F289" s="6"/>
      <c r="G289" s="7">
        <f t="shared" si="16"/>
        <v>1994622</v>
      </c>
      <c r="H289" s="12">
        <f t="shared" si="17"/>
        <v>1.8069361952211669</v>
      </c>
      <c r="I289" s="12">
        <f t="shared" si="18"/>
        <v>87.55283315554469</v>
      </c>
      <c r="J289">
        <f t="shared" si="19"/>
        <v>36782</v>
      </c>
      <c r="M289" s="5" t="s">
        <v>48</v>
      </c>
      <c r="N289" s="7">
        <v>1994622</v>
      </c>
    </row>
    <row r="290" spans="1:14" x14ac:dyDescent="0.3">
      <c r="A290" s="5" t="s">
        <v>49</v>
      </c>
      <c r="B290" s="6" t="s">
        <v>11</v>
      </c>
      <c r="C290" s="6">
        <v>18764087</v>
      </c>
      <c r="D290" s="6">
        <v>207647</v>
      </c>
      <c r="E290" s="6">
        <v>16577848</v>
      </c>
      <c r="F290" s="6"/>
      <c r="G290" s="7">
        <f t="shared" si="16"/>
        <v>1978592</v>
      </c>
      <c r="H290" s="12">
        <f t="shared" si="17"/>
        <v>1.1066192562419903</v>
      </c>
      <c r="I290" s="12">
        <f t="shared" si="18"/>
        <v>88.348812281674029</v>
      </c>
      <c r="J290">
        <f t="shared" si="19"/>
        <v>18046</v>
      </c>
      <c r="M290" s="5" t="s">
        <v>49</v>
      </c>
      <c r="N290" s="7">
        <v>1978592</v>
      </c>
    </row>
    <row r="291" spans="1:14" x14ac:dyDescent="0.3">
      <c r="A291" s="5" t="s">
        <v>49</v>
      </c>
      <c r="B291" s="6" t="s">
        <v>11</v>
      </c>
      <c r="C291" s="6">
        <v>18803965</v>
      </c>
      <c r="D291" s="6">
        <v>474643</v>
      </c>
      <c r="E291" s="6">
        <v>15792841</v>
      </c>
      <c r="F291" s="6"/>
      <c r="G291" s="7">
        <f t="shared" si="16"/>
        <v>2536481</v>
      </c>
      <c r="H291" s="12">
        <f t="shared" si="17"/>
        <v>2.5241644514866945</v>
      </c>
      <c r="I291" s="12">
        <f t="shared" si="18"/>
        <v>83.986760239130419</v>
      </c>
      <c r="J291">
        <f t="shared" si="19"/>
        <v>39878</v>
      </c>
      <c r="M291" s="5" t="s">
        <v>49</v>
      </c>
      <c r="N291" s="7">
        <v>2536481</v>
      </c>
    </row>
    <row r="292" spans="1:14" x14ac:dyDescent="0.3">
      <c r="A292" s="5" t="s">
        <v>49</v>
      </c>
      <c r="B292" s="6" t="s">
        <v>11</v>
      </c>
      <c r="C292" s="6">
        <v>18832694</v>
      </c>
      <c r="D292" s="6">
        <v>351306</v>
      </c>
      <c r="E292" s="6">
        <v>15911347</v>
      </c>
      <c r="F292" s="6"/>
      <c r="G292" s="7">
        <f t="shared" si="16"/>
        <v>2570041</v>
      </c>
      <c r="H292" s="12">
        <f t="shared" si="17"/>
        <v>1.8654049176395051</v>
      </c>
      <c r="I292" s="12">
        <f t="shared" si="18"/>
        <v>84.487896420979396</v>
      </c>
      <c r="J292">
        <f t="shared" si="19"/>
        <v>28729</v>
      </c>
      <c r="M292" s="5" t="s">
        <v>49</v>
      </c>
      <c r="N292" s="7">
        <v>2570041</v>
      </c>
    </row>
    <row r="293" spans="1:14" x14ac:dyDescent="0.3">
      <c r="A293" s="5" t="s">
        <v>49</v>
      </c>
      <c r="B293" s="6" t="s">
        <v>11</v>
      </c>
      <c r="C293" s="6">
        <v>18879191</v>
      </c>
      <c r="D293" s="6">
        <v>328335</v>
      </c>
      <c r="E293" s="6">
        <v>15975519</v>
      </c>
      <c r="F293" s="6"/>
      <c r="G293" s="7">
        <f t="shared" si="16"/>
        <v>2575337</v>
      </c>
      <c r="H293" s="12">
        <f t="shared" si="17"/>
        <v>1.7391370212844395</v>
      </c>
      <c r="I293" s="12">
        <f t="shared" si="18"/>
        <v>84.619722317550568</v>
      </c>
      <c r="J293">
        <f t="shared" si="19"/>
        <v>46497</v>
      </c>
      <c r="M293" s="5" t="s">
        <v>49</v>
      </c>
      <c r="N293" s="7">
        <v>2575337</v>
      </c>
    </row>
    <row r="294" spans="1:14" x14ac:dyDescent="0.3">
      <c r="A294" s="5" t="s">
        <v>49</v>
      </c>
      <c r="B294" s="6" t="s">
        <v>11</v>
      </c>
      <c r="C294" s="6">
        <v>18911778</v>
      </c>
      <c r="D294" s="6">
        <v>409563</v>
      </c>
      <c r="E294" s="6">
        <v>16216737</v>
      </c>
      <c r="F294" s="6"/>
      <c r="G294" s="7">
        <f t="shared" si="16"/>
        <v>2285478</v>
      </c>
      <c r="H294" s="12">
        <f t="shared" si="17"/>
        <v>2.1656504216578685</v>
      </c>
      <c r="I294" s="12">
        <f t="shared" si="18"/>
        <v>85.749404418770155</v>
      </c>
      <c r="J294">
        <f t="shared" si="19"/>
        <v>32587</v>
      </c>
      <c r="M294" s="5" t="s">
        <v>49</v>
      </c>
      <c r="N294" s="7">
        <v>2285478</v>
      </c>
    </row>
    <row r="295" spans="1:14" x14ac:dyDescent="0.3">
      <c r="A295" s="5" t="s">
        <v>49</v>
      </c>
      <c r="B295" s="6" t="s">
        <v>11</v>
      </c>
      <c r="C295" s="6">
        <v>18947965</v>
      </c>
      <c r="D295" s="6">
        <v>289773</v>
      </c>
      <c r="E295" s="6">
        <v>16166132</v>
      </c>
      <c r="F295" s="6"/>
      <c r="G295" s="7">
        <f t="shared" si="16"/>
        <v>2492060</v>
      </c>
      <c r="H295" s="12">
        <f t="shared" si="17"/>
        <v>1.5293093479959459</v>
      </c>
      <c r="I295" s="12">
        <f t="shared" si="18"/>
        <v>85.318565872377334</v>
      </c>
      <c r="J295">
        <f t="shared" si="19"/>
        <v>36187</v>
      </c>
      <c r="M295" s="5" t="s">
        <v>49</v>
      </c>
      <c r="N295" s="7">
        <v>2492060</v>
      </c>
    </row>
    <row r="296" spans="1:14" x14ac:dyDescent="0.3">
      <c r="A296" s="5" t="s">
        <v>49</v>
      </c>
      <c r="B296" s="6" t="s">
        <v>11</v>
      </c>
      <c r="C296" s="6">
        <v>18982363</v>
      </c>
      <c r="D296" s="6">
        <v>416165</v>
      </c>
      <c r="E296" s="6">
        <v>16600041</v>
      </c>
      <c r="F296" s="6"/>
      <c r="G296" s="7">
        <f t="shared" si="16"/>
        <v>1966157</v>
      </c>
      <c r="H296" s="12">
        <f t="shared" si="17"/>
        <v>2.192377208253788</v>
      </c>
      <c r="I296" s="12">
        <f t="shared" si="18"/>
        <v>87.449813281939655</v>
      </c>
      <c r="J296">
        <f t="shared" si="19"/>
        <v>34398</v>
      </c>
      <c r="M296" s="5" t="s">
        <v>49</v>
      </c>
      <c r="N296" s="7">
        <v>1966157</v>
      </c>
    </row>
    <row r="297" spans="1:14" x14ac:dyDescent="0.3">
      <c r="A297" s="5" t="s">
        <v>49</v>
      </c>
      <c r="B297" s="6" t="s">
        <v>11</v>
      </c>
      <c r="C297" s="6">
        <v>19008236</v>
      </c>
      <c r="D297" s="6">
        <v>250970</v>
      </c>
      <c r="E297" s="6">
        <v>14007424</v>
      </c>
      <c r="F297" s="6"/>
      <c r="G297" s="7">
        <f t="shared" si="16"/>
        <v>4749842</v>
      </c>
      <c r="H297" s="12">
        <f t="shared" si="17"/>
        <v>1.320322411821907</v>
      </c>
      <c r="I297" s="12">
        <f t="shared" si="18"/>
        <v>73.691340953468796</v>
      </c>
      <c r="J297">
        <f t="shared" si="19"/>
        <v>25873</v>
      </c>
      <c r="M297" s="5" t="s">
        <v>49</v>
      </c>
      <c r="N297" s="7">
        <v>4749842</v>
      </c>
    </row>
    <row r="298" spans="1:14" x14ac:dyDescent="0.3">
      <c r="A298" s="5" t="s">
        <v>50</v>
      </c>
      <c r="B298" s="6" t="s">
        <v>11</v>
      </c>
      <c r="C298" s="6">
        <v>19033009</v>
      </c>
      <c r="D298" s="6">
        <v>569536</v>
      </c>
      <c r="E298" s="6">
        <v>14562361</v>
      </c>
      <c r="F298" s="6"/>
      <c r="G298" s="7">
        <f t="shared" si="16"/>
        <v>3901112</v>
      </c>
      <c r="H298" s="12">
        <f t="shared" si="17"/>
        <v>2.9923592218130093</v>
      </c>
      <c r="I298" s="12">
        <f t="shared" si="18"/>
        <v>76.511081353452838</v>
      </c>
      <c r="J298">
        <f t="shared" si="19"/>
        <v>24773</v>
      </c>
      <c r="M298" s="5" t="s">
        <v>50</v>
      </c>
      <c r="N298" s="7">
        <v>3901112</v>
      </c>
    </row>
    <row r="299" spans="1:14" x14ac:dyDescent="0.3">
      <c r="A299" s="5" t="s">
        <v>50</v>
      </c>
      <c r="B299" s="6" t="s">
        <v>11</v>
      </c>
      <c r="C299" s="6">
        <v>19052477</v>
      </c>
      <c r="D299" s="6">
        <v>554099</v>
      </c>
      <c r="E299" s="6">
        <v>13618381</v>
      </c>
      <c r="F299" s="6"/>
      <c r="G299" s="7">
        <f t="shared" si="16"/>
        <v>4879997</v>
      </c>
      <c r="H299" s="12">
        <f t="shared" si="17"/>
        <v>2.9082780155042309</v>
      </c>
      <c r="I299" s="12">
        <f t="shared" si="18"/>
        <v>71.478270253258941</v>
      </c>
      <c r="J299">
        <f t="shared" si="19"/>
        <v>19468</v>
      </c>
      <c r="M299" s="5" t="s">
        <v>50</v>
      </c>
      <c r="N299" s="7">
        <v>4879997</v>
      </c>
    </row>
    <row r="300" spans="1:14" x14ac:dyDescent="0.3">
      <c r="A300" s="5" t="s">
        <v>50</v>
      </c>
      <c r="B300" s="6" t="s">
        <v>11</v>
      </c>
      <c r="C300" s="6">
        <v>19075429</v>
      </c>
      <c r="D300" s="6">
        <v>277093</v>
      </c>
      <c r="E300" s="6">
        <v>13859922</v>
      </c>
      <c r="F300" s="6"/>
      <c r="G300" s="7">
        <f t="shared" si="16"/>
        <v>4938414</v>
      </c>
      <c r="H300" s="12">
        <f t="shared" si="17"/>
        <v>1.4526173959180682</v>
      </c>
      <c r="I300" s="12">
        <f t="shared" si="18"/>
        <v>72.658507444314878</v>
      </c>
      <c r="J300">
        <f t="shared" si="19"/>
        <v>22952</v>
      </c>
      <c r="M300" s="5" t="s">
        <v>50</v>
      </c>
      <c r="N300" s="7">
        <v>4938414</v>
      </c>
    </row>
    <row r="301" spans="1:14" x14ac:dyDescent="0.3">
      <c r="A301" s="5" t="s">
        <v>50</v>
      </c>
      <c r="B301" s="6" t="s">
        <v>11</v>
      </c>
      <c r="C301" s="6">
        <v>19106244</v>
      </c>
      <c r="D301" s="6">
        <v>463651</v>
      </c>
      <c r="E301" s="6">
        <v>13842667</v>
      </c>
      <c r="F301" s="6"/>
      <c r="G301" s="7">
        <f t="shared" si="16"/>
        <v>4799926</v>
      </c>
      <c r="H301" s="12">
        <f t="shared" si="17"/>
        <v>2.4266988320676739</v>
      </c>
      <c r="I301" s="12">
        <f t="shared" si="18"/>
        <v>72.451011302901819</v>
      </c>
      <c r="J301">
        <f t="shared" si="19"/>
        <v>30815</v>
      </c>
      <c r="M301" s="5" t="s">
        <v>50</v>
      </c>
      <c r="N301" s="7">
        <v>4799926</v>
      </c>
    </row>
    <row r="302" spans="1:14" x14ac:dyDescent="0.3">
      <c r="A302" s="5" t="s">
        <v>50</v>
      </c>
      <c r="B302" s="6" t="s">
        <v>12</v>
      </c>
      <c r="C302" s="6">
        <v>13593348</v>
      </c>
      <c r="D302" s="6">
        <v>215556</v>
      </c>
      <c r="E302" s="6">
        <v>10993743</v>
      </c>
      <c r="F302" s="6"/>
      <c r="G302" s="7">
        <f t="shared" si="16"/>
        <v>2384049</v>
      </c>
      <c r="H302" s="12">
        <f t="shared" si="17"/>
        <v>1.5857462046877633</v>
      </c>
      <c r="I302" s="12">
        <f t="shared" si="18"/>
        <v>80.87590341981975</v>
      </c>
      <c r="J302" t="str">
        <f t="shared" si="19"/>
        <v/>
      </c>
      <c r="M302" s="5" t="s">
        <v>50</v>
      </c>
      <c r="N302" s="7">
        <v>2384049</v>
      </c>
    </row>
    <row r="303" spans="1:14" x14ac:dyDescent="0.3">
      <c r="A303" s="5" t="s">
        <v>50</v>
      </c>
      <c r="B303" s="6" t="s">
        <v>12</v>
      </c>
      <c r="C303" s="6">
        <v>13628742</v>
      </c>
      <c r="D303" s="6">
        <v>408211</v>
      </c>
      <c r="E303" s="6">
        <v>10543029</v>
      </c>
      <c r="F303" s="6"/>
      <c r="G303" s="7">
        <f t="shared" si="16"/>
        <v>2677502</v>
      </c>
      <c r="H303" s="12">
        <f t="shared" si="17"/>
        <v>2.995221422490792</v>
      </c>
      <c r="I303" s="12">
        <f t="shared" si="18"/>
        <v>77.358783371201838</v>
      </c>
      <c r="J303">
        <f t="shared" si="19"/>
        <v>35394</v>
      </c>
      <c r="M303" s="5" t="s">
        <v>50</v>
      </c>
      <c r="N303" s="7">
        <v>2677502</v>
      </c>
    </row>
    <row r="304" spans="1:14" x14ac:dyDescent="0.3">
      <c r="A304" s="5" t="s">
        <v>50</v>
      </c>
      <c r="B304" s="6" t="s">
        <v>12</v>
      </c>
      <c r="C304" s="6">
        <v>13665024</v>
      </c>
      <c r="D304" s="6">
        <v>229343</v>
      </c>
      <c r="E304" s="6">
        <v>10677361</v>
      </c>
      <c r="F304" s="6"/>
      <c r="G304" s="7">
        <f t="shared" si="16"/>
        <v>2758320</v>
      </c>
      <c r="H304" s="12">
        <f t="shared" si="17"/>
        <v>1.6783212382210231</v>
      </c>
      <c r="I304" s="12">
        <f t="shared" si="18"/>
        <v>78.13642332424736</v>
      </c>
      <c r="J304">
        <f t="shared" si="19"/>
        <v>36282</v>
      </c>
      <c r="M304" s="5" t="s">
        <v>50</v>
      </c>
      <c r="N304" s="7">
        <v>2758320</v>
      </c>
    </row>
    <row r="305" spans="1:14" x14ac:dyDescent="0.3">
      <c r="A305" s="5" t="s">
        <v>50</v>
      </c>
      <c r="B305" s="6" t="s">
        <v>12</v>
      </c>
      <c r="C305" s="6">
        <v>13667607</v>
      </c>
      <c r="D305" s="6">
        <v>305391</v>
      </c>
      <c r="E305" s="6">
        <v>11737368</v>
      </c>
      <c r="F305" s="6"/>
      <c r="G305" s="7">
        <f t="shared" si="16"/>
        <v>1624848</v>
      </c>
      <c r="H305" s="12">
        <f t="shared" si="17"/>
        <v>2.2344145540620244</v>
      </c>
      <c r="I305" s="12">
        <f t="shared" si="18"/>
        <v>85.877271712597533</v>
      </c>
      <c r="J305">
        <f t="shared" si="19"/>
        <v>2583</v>
      </c>
      <c r="M305" s="5" t="s">
        <v>50</v>
      </c>
      <c r="N305" s="7">
        <v>1624848</v>
      </c>
    </row>
    <row r="306" spans="1:14" x14ac:dyDescent="0.3">
      <c r="A306" s="5" t="s">
        <v>51</v>
      </c>
      <c r="B306" s="6" t="s">
        <v>12</v>
      </c>
      <c r="C306" s="6">
        <v>13700087</v>
      </c>
      <c r="D306" s="6">
        <v>389810</v>
      </c>
      <c r="E306" s="6">
        <v>12035304</v>
      </c>
      <c r="F306" s="6"/>
      <c r="G306" s="7">
        <f t="shared" si="16"/>
        <v>1274973</v>
      </c>
      <c r="H306" s="12">
        <f t="shared" si="17"/>
        <v>2.8453103983938206</v>
      </c>
      <c r="I306" s="12">
        <f t="shared" si="18"/>
        <v>87.848376437317512</v>
      </c>
      <c r="J306">
        <f t="shared" si="19"/>
        <v>32480</v>
      </c>
      <c r="M306" s="5" t="s">
        <v>51</v>
      </c>
      <c r="N306" s="7">
        <v>1274973</v>
      </c>
    </row>
    <row r="307" spans="1:14" x14ac:dyDescent="0.3">
      <c r="A307" s="5" t="s">
        <v>51</v>
      </c>
      <c r="B307" s="6" t="s">
        <v>12</v>
      </c>
      <c r="C307" s="6">
        <v>13739794</v>
      </c>
      <c r="D307" s="6">
        <v>370187</v>
      </c>
      <c r="E307" s="6">
        <v>12210835</v>
      </c>
      <c r="F307" s="6"/>
      <c r="G307" s="7">
        <f t="shared" si="16"/>
        <v>1158772</v>
      </c>
      <c r="H307" s="12">
        <f t="shared" si="17"/>
        <v>2.6942689242648035</v>
      </c>
      <c r="I307" s="12">
        <f t="shared" si="18"/>
        <v>88.872038401740227</v>
      </c>
      <c r="J307">
        <f t="shared" si="19"/>
        <v>39707</v>
      </c>
      <c r="M307" s="5" t="s">
        <v>51</v>
      </c>
      <c r="N307" s="7">
        <v>1158772</v>
      </c>
    </row>
    <row r="308" spans="1:14" x14ac:dyDescent="0.3">
      <c r="A308" s="5" t="s">
        <v>51</v>
      </c>
      <c r="B308" s="6" t="s">
        <v>12</v>
      </c>
      <c r="C308" s="6">
        <v>13785560</v>
      </c>
      <c r="D308" s="6">
        <v>234638</v>
      </c>
      <c r="E308" s="6">
        <v>10605350</v>
      </c>
      <c r="F308" s="6"/>
      <c r="G308" s="7">
        <f t="shared" si="16"/>
        <v>2945572</v>
      </c>
      <c r="H308" s="12">
        <f t="shared" si="17"/>
        <v>1.7020563546203418</v>
      </c>
      <c r="I308" s="12">
        <f t="shared" si="18"/>
        <v>76.930860987874269</v>
      </c>
      <c r="J308">
        <f t="shared" si="19"/>
        <v>45766</v>
      </c>
      <c r="M308" s="5" t="s">
        <v>51</v>
      </c>
      <c r="N308" s="7">
        <v>2945572</v>
      </c>
    </row>
    <row r="309" spans="1:14" x14ac:dyDescent="0.3">
      <c r="A309" s="5" t="s">
        <v>51</v>
      </c>
      <c r="B309" s="6" t="s">
        <v>12</v>
      </c>
      <c r="C309" s="6">
        <v>13791373</v>
      </c>
      <c r="D309" s="6">
        <v>325095</v>
      </c>
      <c r="E309" s="6">
        <v>10209274</v>
      </c>
      <c r="F309" s="6"/>
      <c r="G309" s="7">
        <f t="shared" si="16"/>
        <v>3257004</v>
      </c>
      <c r="H309" s="12">
        <f t="shared" si="17"/>
        <v>2.357234482745119</v>
      </c>
      <c r="I309" s="12">
        <f t="shared" si="18"/>
        <v>74.026523682594913</v>
      </c>
      <c r="J309">
        <f t="shared" si="19"/>
        <v>5813</v>
      </c>
      <c r="M309" s="5" t="s">
        <v>51</v>
      </c>
      <c r="N309" s="7">
        <v>3257004</v>
      </c>
    </row>
    <row r="310" spans="1:14" x14ac:dyDescent="0.3">
      <c r="A310" s="5" t="s">
        <v>51</v>
      </c>
      <c r="B310" s="6" t="s">
        <v>12</v>
      </c>
      <c r="C310" s="6">
        <v>13794377</v>
      </c>
      <c r="D310" s="6">
        <v>392271</v>
      </c>
      <c r="E310" s="6">
        <v>10264720</v>
      </c>
      <c r="F310" s="6"/>
      <c r="G310" s="7">
        <f t="shared" si="16"/>
        <v>3137386</v>
      </c>
      <c r="H310" s="12">
        <f t="shared" si="17"/>
        <v>2.8437021838681078</v>
      </c>
      <c r="I310" s="12">
        <f t="shared" si="18"/>
        <v>74.412349321756238</v>
      </c>
      <c r="J310">
        <f t="shared" si="19"/>
        <v>3004</v>
      </c>
      <c r="M310" s="5" t="s">
        <v>51</v>
      </c>
      <c r="N310" s="7">
        <v>3137386</v>
      </c>
    </row>
    <row r="311" spans="1:14" x14ac:dyDescent="0.3">
      <c r="A311" s="5" t="s">
        <v>51</v>
      </c>
      <c r="B311" s="6" t="s">
        <v>12</v>
      </c>
      <c r="C311" s="6">
        <v>13827802</v>
      </c>
      <c r="D311" s="6">
        <v>184726</v>
      </c>
      <c r="E311" s="6">
        <v>10040284</v>
      </c>
      <c r="F311" s="6"/>
      <c r="G311" s="7">
        <f t="shared" si="16"/>
        <v>3602792</v>
      </c>
      <c r="H311" s="12">
        <f t="shared" si="17"/>
        <v>1.3359028426932928</v>
      </c>
      <c r="I311" s="12">
        <f t="shared" si="18"/>
        <v>72.609399527126584</v>
      </c>
      <c r="J311">
        <f t="shared" si="19"/>
        <v>33425</v>
      </c>
      <c r="M311" s="5" t="s">
        <v>51</v>
      </c>
      <c r="N311" s="7">
        <v>3602792</v>
      </c>
    </row>
    <row r="312" spans="1:14" x14ac:dyDescent="0.3">
      <c r="A312" s="5" t="s">
        <v>51</v>
      </c>
      <c r="B312" s="6" t="s">
        <v>12</v>
      </c>
      <c r="C312" s="6">
        <v>13873052</v>
      </c>
      <c r="D312" s="6">
        <v>257834</v>
      </c>
      <c r="E312" s="6">
        <v>10962579</v>
      </c>
      <c r="F312" s="6"/>
      <c r="G312" s="7">
        <f t="shared" si="16"/>
        <v>2652639</v>
      </c>
      <c r="H312" s="12">
        <f t="shared" si="17"/>
        <v>1.8585239931343156</v>
      </c>
      <c r="I312" s="12">
        <f t="shared" si="18"/>
        <v>79.020672596051682</v>
      </c>
      <c r="J312">
        <f t="shared" si="19"/>
        <v>45250</v>
      </c>
      <c r="M312" s="5" t="s">
        <v>51</v>
      </c>
      <c r="N312" s="7">
        <v>2652639</v>
      </c>
    </row>
    <row r="313" spans="1:14" x14ac:dyDescent="0.3">
      <c r="A313" s="5" t="s">
        <v>51</v>
      </c>
      <c r="B313" s="6" t="s">
        <v>12</v>
      </c>
      <c r="C313" s="6">
        <v>13912795</v>
      </c>
      <c r="D313" s="6">
        <v>383328</v>
      </c>
      <c r="E313" s="6">
        <v>12380428</v>
      </c>
      <c r="F313" s="6"/>
      <c r="G313" s="7">
        <f t="shared" si="16"/>
        <v>1149039</v>
      </c>
      <c r="H313" s="12">
        <f t="shared" si="17"/>
        <v>2.7552192064930159</v>
      </c>
      <c r="I313" s="12">
        <f t="shared" si="18"/>
        <v>88.985915482834315</v>
      </c>
      <c r="J313">
        <f t="shared" si="19"/>
        <v>39743</v>
      </c>
      <c r="M313" s="5" t="s">
        <v>51</v>
      </c>
      <c r="N313" s="7">
        <v>1149039</v>
      </c>
    </row>
    <row r="314" spans="1:14" x14ac:dyDescent="0.3">
      <c r="A314" s="5" t="s">
        <v>52</v>
      </c>
      <c r="B314" s="6" t="s">
        <v>12</v>
      </c>
      <c r="C314" s="6">
        <v>13934394</v>
      </c>
      <c r="D314" s="6">
        <v>262514</v>
      </c>
      <c r="E314" s="6">
        <v>11430734</v>
      </c>
      <c r="F314" s="6"/>
      <c r="G314" s="7">
        <f t="shared" si="16"/>
        <v>2241146</v>
      </c>
      <c r="H314" s="12">
        <f t="shared" si="17"/>
        <v>1.8839283574154715</v>
      </c>
      <c r="I314" s="12">
        <f t="shared" si="18"/>
        <v>82.032516089325441</v>
      </c>
      <c r="J314">
        <f t="shared" si="19"/>
        <v>21599</v>
      </c>
      <c r="M314" s="5" t="s">
        <v>52</v>
      </c>
      <c r="N314" s="7">
        <v>2241146</v>
      </c>
    </row>
    <row r="315" spans="1:14" x14ac:dyDescent="0.3">
      <c r="A315" s="5" t="s">
        <v>52</v>
      </c>
      <c r="B315" s="6" t="s">
        <v>12</v>
      </c>
      <c r="C315" s="6">
        <v>13962900</v>
      </c>
      <c r="D315" s="6">
        <v>145397</v>
      </c>
      <c r="E315" s="6">
        <v>11341436</v>
      </c>
      <c r="F315" s="6"/>
      <c r="G315" s="7">
        <f t="shared" si="16"/>
        <v>2476067</v>
      </c>
      <c r="H315" s="12">
        <f t="shared" si="17"/>
        <v>1.0413094700957537</v>
      </c>
      <c r="I315" s="12">
        <f t="shared" si="18"/>
        <v>81.225504730392686</v>
      </c>
      <c r="J315">
        <f t="shared" si="19"/>
        <v>28506</v>
      </c>
      <c r="M315" s="5" t="s">
        <v>52</v>
      </c>
      <c r="N315" s="7">
        <v>2476067</v>
      </c>
    </row>
    <row r="316" spans="1:14" x14ac:dyDescent="0.3">
      <c r="A316" s="5" t="s">
        <v>52</v>
      </c>
      <c r="B316" s="6" t="s">
        <v>12</v>
      </c>
      <c r="C316" s="6">
        <v>13991688</v>
      </c>
      <c r="D316" s="6">
        <v>147919</v>
      </c>
      <c r="E316" s="6">
        <v>11951468</v>
      </c>
      <c r="F316" s="6"/>
      <c r="G316" s="7">
        <f t="shared" si="16"/>
        <v>1892301</v>
      </c>
      <c r="H316" s="12">
        <f t="shared" si="17"/>
        <v>1.0571919556811158</v>
      </c>
      <c r="I316" s="12">
        <f t="shared" si="18"/>
        <v>85.418342661728872</v>
      </c>
      <c r="J316">
        <f t="shared" si="19"/>
        <v>28788</v>
      </c>
      <c r="M316" s="5" t="s">
        <v>52</v>
      </c>
      <c r="N316" s="7">
        <v>1892301</v>
      </c>
    </row>
    <row r="317" spans="1:14" x14ac:dyDescent="0.3">
      <c r="A317" s="5" t="s">
        <v>52</v>
      </c>
      <c r="B317" s="6" t="s">
        <v>12</v>
      </c>
      <c r="C317" s="6">
        <v>14027892</v>
      </c>
      <c r="D317" s="6">
        <v>341833</v>
      </c>
      <c r="E317" s="6">
        <v>12187434</v>
      </c>
      <c r="F317" s="6"/>
      <c r="G317" s="7">
        <f t="shared" si="16"/>
        <v>1498625</v>
      </c>
      <c r="H317" s="12">
        <f t="shared" si="17"/>
        <v>2.4368094650286727</v>
      </c>
      <c r="I317" s="12">
        <f t="shared" si="18"/>
        <v>86.880010196827868</v>
      </c>
      <c r="J317">
        <f t="shared" si="19"/>
        <v>36204</v>
      </c>
      <c r="M317" s="5" t="s">
        <v>52</v>
      </c>
      <c r="N317" s="7">
        <v>1498625</v>
      </c>
    </row>
    <row r="318" spans="1:14" x14ac:dyDescent="0.3">
      <c r="A318" s="5" t="s">
        <v>52</v>
      </c>
      <c r="B318" s="6" t="s">
        <v>12</v>
      </c>
      <c r="C318" s="6">
        <v>14034486</v>
      </c>
      <c r="D318" s="6">
        <v>246769</v>
      </c>
      <c r="E318" s="6">
        <v>11234284</v>
      </c>
      <c r="F318" s="6"/>
      <c r="G318" s="7">
        <f t="shared" si="16"/>
        <v>2553433</v>
      </c>
      <c r="H318" s="12">
        <f t="shared" si="17"/>
        <v>1.7583045079100152</v>
      </c>
      <c r="I318" s="12">
        <f t="shared" si="18"/>
        <v>80.047705345247408</v>
      </c>
      <c r="J318">
        <f t="shared" si="19"/>
        <v>6594</v>
      </c>
      <c r="M318" s="5" t="s">
        <v>52</v>
      </c>
      <c r="N318" s="7">
        <v>2553433</v>
      </c>
    </row>
    <row r="319" spans="1:14" x14ac:dyDescent="0.3">
      <c r="A319" s="5" t="s">
        <v>52</v>
      </c>
      <c r="B319" s="6" t="s">
        <v>12</v>
      </c>
      <c r="C319" s="6">
        <v>14035969</v>
      </c>
      <c r="D319" s="6">
        <v>147680</v>
      </c>
      <c r="E319" s="6">
        <v>11030481</v>
      </c>
      <c r="F319" s="6"/>
      <c r="G319" s="7">
        <f t="shared" si="16"/>
        <v>2857808</v>
      </c>
      <c r="H319" s="12">
        <f t="shared" si="17"/>
        <v>1.0521539339392953</v>
      </c>
      <c r="I319" s="12">
        <f t="shared" si="18"/>
        <v>78.587242533807242</v>
      </c>
      <c r="J319">
        <f t="shared" si="19"/>
        <v>1483</v>
      </c>
      <c r="M319" s="5" t="s">
        <v>52</v>
      </c>
      <c r="N319" s="7">
        <v>2857808</v>
      </c>
    </row>
    <row r="320" spans="1:14" x14ac:dyDescent="0.3">
      <c r="A320" s="5" t="s">
        <v>52</v>
      </c>
      <c r="B320" s="6" t="s">
        <v>12</v>
      </c>
      <c r="C320" s="6">
        <v>14077794</v>
      </c>
      <c r="D320" s="6">
        <v>162116</v>
      </c>
      <c r="E320" s="6">
        <v>11979049</v>
      </c>
      <c r="F320" s="6"/>
      <c r="G320" s="7">
        <f t="shared" si="16"/>
        <v>1936629</v>
      </c>
      <c r="H320" s="12">
        <f t="shared" si="17"/>
        <v>1.1515724693797906</v>
      </c>
      <c r="I320" s="12">
        <f t="shared" si="18"/>
        <v>85.091804866586344</v>
      </c>
      <c r="J320">
        <f t="shared" si="19"/>
        <v>41825</v>
      </c>
      <c r="M320" s="5" t="s">
        <v>52</v>
      </c>
      <c r="N320" s="7">
        <v>1936629</v>
      </c>
    </row>
    <row r="321" spans="1:14" x14ac:dyDescent="0.3">
      <c r="A321" s="5" t="s">
        <v>52</v>
      </c>
      <c r="B321" s="6" t="s">
        <v>12</v>
      </c>
      <c r="C321" s="6">
        <v>14105454</v>
      </c>
      <c r="D321" s="6">
        <v>304507</v>
      </c>
      <c r="E321" s="6">
        <v>12092106</v>
      </c>
      <c r="F321" s="6"/>
      <c r="G321" s="7">
        <f t="shared" si="16"/>
        <v>1708841</v>
      </c>
      <c r="H321" s="12">
        <f t="shared" si="17"/>
        <v>2.1587890754881056</v>
      </c>
      <c r="I321" s="12">
        <f t="shared" si="18"/>
        <v>85.726457298006849</v>
      </c>
      <c r="J321">
        <f t="shared" si="19"/>
        <v>27660</v>
      </c>
      <c r="M321" s="5" t="s">
        <v>52</v>
      </c>
      <c r="N321" s="7">
        <v>1708841</v>
      </c>
    </row>
    <row r="322" spans="1:14" x14ac:dyDescent="0.3">
      <c r="A322" s="5" t="s">
        <v>53</v>
      </c>
      <c r="B322" s="6" t="s">
        <v>12</v>
      </c>
      <c r="C322" s="6">
        <v>14148991</v>
      </c>
      <c r="D322" s="6">
        <v>257299</v>
      </c>
      <c r="E322" s="6">
        <v>12260281</v>
      </c>
      <c r="F322" s="6"/>
      <c r="G322" s="7">
        <f t="shared" si="16"/>
        <v>1631411</v>
      </c>
      <c r="H322" s="12">
        <f t="shared" si="17"/>
        <v>1.8184971635079843</v>
      </c>
      <c r="I322" s="12">
        <f t="shared" si="18"/>
        <v>86.651274285212281</v>
      </c>
      <c r="J322">
        <f t="shared" si="19"/>
        <v>43537</v>
      </c>
      <c r="M322" s="5" t="s">
        <v>53</v>
      </c>
      <c r="N322" s="7">
        <v>1631411</v>
      </c>
    </row>
    <row r="323" spans="1:14" x14ac:dyDescent="0.3">
      <c r="A323" s="5" t="s">
        <v>53</v>
      </c>
      <c r="B323" s="6" t="s">
        <v>12</v>
      </c>
      <c r="C323" s="6">
        <v>14194846</v>
      </c>
      <c r="D323" s="6">
        <v>301630</v>
      </c>
      <c r="E323" s="6">
        <v>11514062</v>
      </c>
      <c r="F323" s="6"/>
      <c r="G323" s="7">
        <f t="shared" ref="G323:G386" si="20" xml:space="preserve"> C323-D323-E323</f>
        <v>2379154</v>
      </c>
      <c r="H323" s="12">
        <f t="shared" ref="H323:H386" si="21">D323/C323*100</f>
        <v>2.1249261879980943</v>
      </c>
      <c r="I323" s="12">
        <f t="shared" ref="I323:I386" si="22">E323/C323*100</f>
        <v>81.114384756269985</v>
      </c>
      <c r="J323">
        <f t="shared" ref="J323:J386" si="23">IF(B323=B322,C323-C322,"")</f>
        <v>45855</v>
      </c>
      <c r="M323" s="5" t="s">
        <v>53</v>
      </c>
      <c r="N323" s="7">
        <v>2379154</v>
      </c>
    </row>
    <row r="324" spans="1:14" x14ac:dyDescent="0.3">
      <c r="A324" s="5" t="s">
        <v>53</v>
      </c>
      <c r="B324" s="6" t="s">
        <v>12</v>
      </c>
      <c r="C324" s="6">
        <v>14244523</v>
      </c>
      <c r="D324" s="6">
        <v>196543</v>
      </c>
      <c r="E324" s="6">
        <v>10834653</v>
      </c>
      <c r="F324" s="6"/>
      <c r="G324" s="7">
        <f t="shared" si="20"/>
        <v>3213327</v>
      </c>
      <c r="H324" s="12">
        <f t="shared" si="21"/>
        <v>1.3797794422459775</v>
      </c>
      <c r="I324" s="12">
        <f t="shared" si="22"/>
        <v>76.061887084600869</v>
      </c>
      <c r="J324">
        <f t="shared" si="23"/>
        <v>49677</v>
      </c>
      <c r="M324" s="5" t="s">
        <v>53</v>
      </c>
      <c r="N324" s="7">
        <v>3213327</v>
      </c>
    </row>
    <row r="325" spans="1:14" x14ac:dyDescent="0.3">
      <c r="A325" s="5" t="s">
        <v>53</v>
      </c>
      <c r="B325" s="6" t="s">
        <v>12</v>
      </c>
      <c r="C325" s="6">
        <v>14261299</v>
      </c>
      <c r="D325" s="6">
        <v>157034</v>
      </c>
      <c r="E325" s="6">
        <v>10401046</v>
      </c>
      <c r="F325" s="6"/>
      <c r="G325" s="7">
        <f t="shared" si="20"/>
        <v>3703219</v>
      </c>
      <c r="H325" s="12">
        <f t="shared" si="21"/>
        <v>1.1011198909720636</v>
      </c>
      <c r="I325" s="12">
        <f t="shared" si="22"/>
        <v>72.931967838273366</v>
      </c>
      <c r="J325">
        <f t="shared" si="23"/>
        <v>16776</v>
      </c>
      <c r="M325" s="5" t="s">
        <v>53</v>
      </c>
      <c r="N325" s="7">
        <v>3703219</v>
      </c>
    </row>
    <row r="326" spans="1:14" x14ac:dyDescent="0.3">
      <c r="A326" s="5" t="s">
        <v>53</v>
      </c>
      <c r="B326" s="6" t="s">
        <v>12</v>
      </c>
      <c r="C326" s="6">
        <v>14292569</v>
      </c>
      <c r="D326" s="6">
        <v>317615</v>
      </c>
      <c r="E326" s="6">
        <v>10862331</v>
      </c>
      <c r="F326" s="6"/>
      <c r="G326" s="7">
        <f t="shared" si="20"/>
        <v>3112623</v>
      </c>
      <c r="H326" s="12">
        <f t="shared" si="21"/>
        <v>2.222238703203042</v>
      </c>
      <c r="I326" s="12">
        <f t="shared" si="22"/>
        <v>75.999849991978351</v>
      </c>
      <c r="J326">
        <f t="shared" si="23"/>
        <v>31270</v>
      </c>
      <c r="M326" s="5" t="s">
        <v>53</v>
      </c>
      <c r="N326" s="7">
        <v>3112623</v>
      </c>
    </row>
    <row r="327" spans="1:14" x14ac:dyDescent="0.3">
      <c r="A327" s="5" t="s">
        <v>53</v>
      </c>
      <c r="B327" s="6" t="s">
        <v>12</v>
      </c>
      <c r="C327" s="6">
        <v>14306788</v>
      </c>
      <c r="D327" s="6">
        <v>289705</v>
      </c>
      <c r="E327" s="6">
        <v>11284596</v>
      </c>
      <c r="F327" s="6"/>
      <c r="G327" s="7">
        <f t="shared" si="20"/>
        <v>2732487</v>
      </c>
      <c r="H327" s="12">
        <f t="shared" si="21"/>
        <v>2.024947877888454</v>
      </c>
      <c r="I327" s="12">
        <f t="shared" si="22"/>
        <v>78.875817548984443</v>
      </c>
      <c r="J327">
        <f t="shared" si="23"/>
        <v>14219</v>
      </c>
      <c r="M327" s="5" t="s">
        <v>53</v>
      </c>
      <c r="N327" s="7">
        <v>2732487</v>
      </c>
    </row>
    <row r="328" spans="1:14" x14ac:dyDescent="0.3">
      <c r="A328" s="5" t="s">
        <v>53</v>
      </c>
      <c r="B328" s="6" t="s">
        <v>12</v>
      </c>
      <c r="C328" s="6">
        <v>14318283</v>
      </c>
      <c r="D328" s="6">
        <v>316612</v>
      </c>
      <c r="E328" s="6">
        <v>12242541</v>
      </c>
      <c r="F328" s="6"/>
      <c r="G328" s="7">
        <f t="shared" si="20"/>
        <v>1759130</v>
      </c>
      <c r="H328" s="12">
        <f t="shared" si="21"/>
        <v>2.2112427865827211</v>
      </c>
      <c r="I328" s="12">
        <f t="shared" si="22"/>
        <v>85.502856732193379</v>
      </c>
      <c r="J328">
        <f t="shared" si="23"/>
        <v>11495</v>
      </c>
      <c r="M328" s="5" t="s">
        <v>53</v>
      </c>
      <c r="N328" s="7">
        <v>1759130</v>
      </c>
    </row>
    <row r="329" spans="1:14" x14ac:dyDescent="0.3">
      <c r="A329" s="5" t="s">
        <v>53</v>
      </c>
      <c r="B329" s="6" t="s">
        <v>12</v>
      </c>
      <c r="C329" s="6">
        <v>14339170</v>
      </c>
      <c r="D329" s="6">
        <v>153018</v>
      </c>
      <c r="E329" s="6">
        <v>11681570</v>
      </c>
      <c r="F329" s="6"/>
      <c r="G329" s="7">
        <f t="shared" si="20"/>
        <v>2504582</v>
      </c>
      <c r="H329" s="12">
        <f t="shared" si="21"/>
        <v>1.067132895418633</v>
      </c>
      <c r="I329" s="12">
        <f t="shared" si="22"/>
        <v>81.466151806555047</v>
      </c>
      <c r="J329">
        <f t="shared" si="23"/>
        <v>20887</v>
      </c>
      <c r="M329" s="5" t="s">
        <v>53</v>
      </c>
      <c r="N329" s="7">
        <v>2504582</v>
      </c>
    </row>
    <row r="330" spans="1:14" x14ac:dyDescent="0.3">
      <c r="A330" s="5" t="s">
        <v>54</v>
      </c>
      <c r="B330" s="6" t="s">
        <v>12</v>
      </c>
      <c r="C330" s="6">
        <v>14347501</v>
      </c>
      <c r="D330" s="6">
        <v>341494</v>
      </c>
      <c r="E330" s="6">
        <v>12255589</v>
      </c>
      <c r="F330" s="6"/>
      <c r="G330" s="7">
        <f t="shared" si="20"/>
        <v>1750418</v>
      </c>
      <c r="H330" s="12">
        <f t="shared" si="21"/>
        <v>2.3801636257073615</v>
      </c>
      <c r="I330" s="12">
        <f t="shared" si="22"/>
        <v>85.419676917952472</v>
      </c>
      <c r="J330">
        <f t="shared" si="23"/>
        <v>8331</v>
      </c>
      <c r="M330" s="5" t="s">
        <v>54</v>
      </c>
      <c r="N330" s="7">
        <v>1750418</v>
      </c>
    </row>
    <row r="331" spans="1:14" x14ac:dyDescent="0.3">
      <c r="A331" s="5" t="s">
        <v>54</v>
      </c>
      <c r="B331" s="6" t="s">
        <v>12</v>
      </c>
      <c r="C331" s="6">
        <v>14373475</v>
      </c>
      <c r="D331" s="6">
        <v>151214</v>
      </c>
      <c r="E331" s="6">
        <v>11524406</v>
      </c>
      <c r="F331" s="6"/>
      <c r="G331" s="7">
        <f t="shared" si="20"/>
        <v>2697855</v>
      </c>
      <c r="H331" s="12">
        <f t="shared" si="21"/>
        <v>1.0520350854612404</v>
      </c>
      <c r="I331" s="12">
        <f t="shared" si="22"/>
        <v>80.1782867399846</v>
      </c>
      <c r="J331">
        <f t="shared" si="23"/>
        <v>25974</v>
      </c>
      <c r="M331" s="5" t="s">
        <v>54</v>
      </c>
      <c r="N331" s="7">
        <v>2697855</v>
      </c>
    </row>
    <row r="332" spans="1:14" x14ac:dyDescent="0.3">
      <c r="A332" s="5" t="s">
        <v>54</v>
      </c>
      <c r="B332" s="6" t="s">
        <v>12</v>
      </c>
      <c r="C332" s="6">
        <v>14411524</v>
      </c>
      <c r="D332" s="6">
        <v>347564</v>
      </c>
      <c r="E332" s="6">
        <v>12621912</v>
      </c>
      <c r="F332" s="6"/>
      <c r="G332" s="7">
        <f t="shared" si="20"/>
        <v>1442048</v>
      </c>
      <c r="H332" s="12">
        <f t="shared" si="21"/>
        <v>2.4117088518882528</v>
      </c>
      <c r="I332" s="12">
        <f t="shared" si="22"/>
        <v>87.582076676970459</v>
      </c>
      <c r="J332">
        <f t="shared" si="23"/>
        <v>38049</v>
      </c>
      <c r="M332" s="5" t="s">
        <v>54</v>
      </c>
      <c r="N332" s="7">
        <v>1442048</v>
      </c>
    </row>
    <row r="333" spans="1:14" x14ac:dyDescent="0.3">
      <c r="A333" s="5" t="s">
        <v>54</v>
      </c>
      <c r="B333" s="6" t="s">
        <v>12</v>
      </c>
      <c r="C333" s="6">
        <v>14461129</v>
      </c>
      <c r="D333" s="6">
        <v>147245</v>
      </c>
      <c r="E333" s="6">
        <v>11623365</v>
      </c>
      <c r="F333" s="6"/>
      <c r="G333" s="7">
        <f t="shared" si="20"/>
        <v>2690519</v>
      </c>
      <c r="H333" s="12">
        <f t="shared" si="21"/>
        <v>1.0182123401291836</v>
      </c>
      <c r="I333" s="12">
        <f t="shared" si="22"/>
        <v>80.376608216412421</v>
      </c>
      <c r="J333">
        <f t="shared" si="23"/>
        <v>49605</v>
      </c>
      <c r="M333" s="5" t="s">
        <v>54</v>
      </c>
      <c r="N333" s="7">
        <v>2690519</v>
      </c>
    </row>
    <row r="334" spans="1:14" x14ac:dyDescent="0.3">
      <c r="A334" s="5" t="s">
        <v>54</v>
      </c>
      <c r="B334" s="6" t="s">
        <v>12</v>
      </c>
      <c r="C334" s="6">
        <v>14468499</v>
      </c>
      <c r="D334" s="6">
        <v>185004</v>
      </c>
      <c r="E334" s="6">
        <v>12161988</v>
      </c>
      <c r="F334" s="6"/>
      <c r="G334" s="7">
        <f t="shared" si="20"/>
        <v>2121507</v>
      </c>
      <c r="H334" s="12">
        <f t="shared" si="21"/>
        <v>1.2786675383534947</v>
      </c>
      <c r="I334" s="12">
        <f t="shared" si="22"/>
        <v>84.058394723599179</v>
      </c>
      <c r="J334">
        <f t="shared" si="23"/>
        <v>7370</v>
      </c>
      <c r="M334" s="5" t="s">
        <v>54</v>
      </c>
      <c r="N334" s="7">
        <v>2121507</v>
      </c>
    </row>
    <row r="335" spans="1:14" x14ac:dyDescent="0.3">
      <c r="A335" s="5" t="s">
        <v>54</v>
      </c>
      <c r="B335" s="6" t="s">
        <v>12</v>
      </c>
      <c r="C335" s="6">
        <v>14515948</v>
      </c>
      <c r="D335" s="6">
        <v>375696</v>
      </c>
      <c r="E335" s="6">
        <v>12381780</v>
      </c>
      <c r="F335" s="6"/>
      <c r="G335" s="7">
        <f t="shared" si="20"/>
        <v>1758472</v>
      </c>
      <c r="H335" s="12">
        <f t="shared" si="21"/>
        <v>2.5881602772343908</v>
      </c>
      <c r="I335" s="12">
        <f t="shared" si="22"/>
        <v>85.297770424639168</v>
      </c>
      <c r="J335">
        <f t="shared" si="23"/>
        <v>47449</v>
      </c>
      <c r="M335" s="5" t="s">
        <v>54</v>
      </c>
      <c r="N335" s="7">
        <v>1758472</v>
      </c>
    </row>
    <row r="336" spans="1:14" x14ac:dyDescent="0.3">
      <c r="A336" s="5" t="s">
        <v>54</v>
      </c>
      <c r="B336" s="6" t="s">
        <v>12</v>
      </c>
      <c r="C336" s="6">
        <v>14554767</v>
      </c>
      <c r="D336" s="6">
        <v>245714</v>
      </c>
      <c r="E336" s="6">
        <v>12264822</v>
      </c>
      <c r="F336" s="6"/>
      <c r="G336" s="7">
        <f t="shared" si="20"/>
        <v>2044231</v>
      </c>
      <c r="H336" s="12">
        <f t="shared" si="21"/>
        <v>1.6882029097408429</v>
      </c>
      <c r="I336" s="12">
        <f t="shared" si="22"/>
        <v>84.266701074637609</v>
      </c>
      <c r="J336">
        <f t="shared" si="23"/>
        <v>38819</v>
      </c>
      <c r="M336" s="5" t="s">
        <v>54</v>
      </c>
      <c r="N336" s="7">
        <v>2044231</v>
      </c>
    </row>
    <row r="337" spans="1:14" x14ac:dyDescent="0.3">
      <c r="A337" s="5" t="s">
        <v>54</v>
      </c>
      <c r="B337" s="6" t="s">
        <v>12</v>
      </c>
      <c r="C337" s="6">
        <v>14583311</v>
      </c>
      <c r="D337" s="6">
        <v>317601</v>
      </c>
      <c r="E337" s="6">
        <v>12395993</v>
      </c>
      <c r="F337" s="6"/>
      <c r="G337" s="7">
        <f t="shared" si="20"/>
        <v>1869717</v>
      </c>
      <c r="H337" s="12">
        <f t="shared" si="21"/>
        <v>2.1778387637759353</v>
      </c>
      <c r="I337" s="12">
        <f t="shared" si="22"/>
        <v>85.001225030447486</v>
      </c>
      <c r="J337">
        <f t="shared" si="23"/>
        <v>28544</v>
      </c>
      <c r="M337" s="5" t="s">
        <v>54</v>
      </c>
      <c r="N337" s="7">
        <v>1869717</v>
      </c>
    </row>
    <row r="338" spans="1:14" x14ac:dyDescent="0.3">
      <c r="A338" s="5" t="s">
        <v>55</v>
      </c>
      <c r="B338" s="6" t="s">
        <v>12</v>
      </c>
      <c r="C338" s="6">
        <v>14628892</v>
      </c>
      <c r="D338" s="6">
        <v>419139</v>
      </c>
      <c r="E338" s="6">
        <v>10415382</v>
      </c>
      <c r="F338" s="6"/>
      <c r="G338" s="7">
        <f t="shared" si="20"/>
        <v>3794371</v>
      </c>
      <c r="H338" s="12">
        <f t="shared" si="21"/>
        <v>2.8651452208410588</v>
      </c>
      <c r="I338" s="12">
        <f t="shared" si="22"/>
        <v>71.19734016766273</v>
      </c>
      <c r="J338">
        <f t="shared" si="23"/>
        <v>45581</v>
      </c>
      <c r="M338" s="5" t="s">
        <v>55</v>
      </c>
      <c r="N338" s="7">
        <v>3794371</v>
      </c>
    </row>
    <row r="339" spans="1:14" x14ac:dyDescent="0.3">
      <c r="A339" s="5" t="s">
        <v>55</v>
      </c>
      <c r="B339" s="6" t="s">
        <v>12</v>
      </c>
      <c r="C339" s="6">
        <v>14669133</v>
      </c>
      <c r="D339" s="6">
        <v>160360</v>
      </c>
      <c r="E339" s="6">
        <v>12397203</v>
      </c>
      <c r="F339" s="6"/>
      <c r="G339" s="7">
        <f t="shared" si="20"/>
        <v>2111570</v>
      </c>
      <c r="H339" s="12">
        <f t="shared" si="21"/>
        <v>1.0931798082408823</v>
      </c>
      <c r="I339" s="12">
        <f t="shared" si="22"/>
        <v>84.512172600793789</v>
      </c>
      <c r="J339">
        <f t="shared" si="23"/>
        <v>40241</v>
      </c>
      <c r="M339" s="5" t="s">
        <v>55</v>
      </c>
      <c r="N339" s="7">
        <v>2111570</v>
      </c>
    </row>
    <row r="340" spans="1:14" x14ac:dyDescent="0.3">
      <c r="A340" s="5" t="s">
        <v>55</v>
      </c>
      <c r="B340" s="6" t="s">
        <v>12</v>
      </c>
      <c r="C340" s="6">
        <v>14714769</v>
      </c>
      <c r="D340" s="6">
        <v>364399</v>
      </c>
      <c r="E340" s="6">
        <v>11498256</v>
      </c>
      <c r="F340" s="6"/>
      <c r="G340" s="7">
        <f t="shared" si="20"/>
        <v>2852114</v>
      </c>
      <c r="H340" s="12">
        <f t="shared" si="21"/>
        <v>2.476416721186721</v>
      </c>
      <c r="I340" s="12">
        <f t="shared" si="22"/>
        <v>78.140920866647662</v>
      </c>
      <c r="J340">
        <f t="shared" si="23"/>
        <v>45636</v>
      </c>
      <c r="M340" s="5" t="s">
        <v>55</v>
      </c>
      <c r="N340" s="7">
        <v>2852114</v>
      </c>
    </row>
    <row r="341" spans="1:14" x14ac:dyDescent="0.3">
      <c r="A341" s="5" t="s">
        <v>55</v>
      </c>
      <c r="B341" s="6" t="s">
        <v>12</v>
      </c>
      <c r="C341" s="6">
        <v>14731188</v>
      </c>
      <c r="D341" s="6">
        <v>364730</v>
      </c>
      <c r="E341" s="6">
        <v>12243811</v>
      </c>
      <c r="F341" s="6"/>
      <c r="G341" s="7">
        <f t="shared" si="20"/>
        <v>2122647</v>
      </c>
      <c r="H341" s="12">
        <f t="shared" si="21"/>
        <v>2.4759035048632874</v>
      </c>
      <c r="I341" s="12">
        <f t="shared" si="22"/>
        <v>83.114892023643989</v>
      </c>
      <c r="J341">
        <f t="shared" si="23"/>
        <v>16419</v>
      </c>
      <c r="M341" s="5" t="s">
        <v>55</v>
      </c>
      <c r="N341" s="7">
        <v>2122647</v>
      </c>
    </row>
    <row r="342" spans="1:14" x14ac:dyDescent="0.3">
      <c r="A342" s="5" t="s">
        <v>55</v>
      </c>
      <c r="B342" s="6" t="s">
        <v>12</v>
      </c>
      <c r="C342" s="6">
        <v>14765728</v>
      </c>
      <c r="D342" s="6">
        <v>192565</v>
      </c>
      <c r="E342" s="6">
        <v>12668780</v>
      </c>
      <c r="F342" s="6"/>
      <c r="G342" s="7">
        <f t="shared" si="20"/>
        <v>1904383</v>
      </c>
      <c r="H342" s="12">
        <f t="shared" si="21"/>
        <v>1.3041348181410359</v>
      </c>
      <c r="I342" s="12">
        <f t="shared" si="22"/>
        <v>85.798546471938266</v>
      </c>
      <c r="J342">
        <f t="shared" si="23"/>
        <v>34540</v>
      </c>
      <c r="M342" s="5" t="s">
        <v>55</v>
      </c>
      <c r="N342" s="7">
        <v>1904383</v>
      </c>
    </row>
    <row r="343" spans="1:14" x14ac:dyDescent="0.3">
      <c r="A343" s="5" t="s">
        <v>55</v>
      </c>
      <c r="B343" s="6" t="s">
        <v>12</v>
      </c>
      <c r="C343" s="6">
        <v>14775433</v>
      </c>
      <c r="D343" s="6">
        <v>298137</v>
      </c>
      <c r="E343" s="6">
        <v>12403651</v>
      </c>
      <c r="F343" s="6"/>
      <c r="G343" s="7">
        <f t="shared" si="20"/>
        <v>2073645</v>
      </c>
      <c r="H343" s="12">
        <f t="shared" si="21"/>
        <v>2.0177885818980736</v>
      </c>
      <c r="I343" s="12">
        <f t="shared" si="22"/>
        <v>83.947800379183462</v>
      </c>
      <c r="J343">
        <f t="shared" si="23"/>
        <v>9705</v>
      </c>
      <c r="M343" s="5" t="s">
        <v>55</v>
      </c>
      <c r="N343" s="7">
        <v>2073645</v>
      </c>
    </row>
    <row r="344" spans="1:14" x14ac:dyDescent="0.3">
      <c r="A344" s="5" t="s">
        <v>55</v>
      </c>
      <c r="B344" s="6" t="s">
        <v>12</v>
      </c>
      <c r="C344" s="6">
        <v>14793212</v>
      </c>
      <c r="D344" s="6">
        <v>300365</v>
      </c>
      <c r="E344" s="6">
        <v>12180206</v>
      </c>
      <c r="F344" s="6"/>
      <c r="G344" s="7">
        <f t="shared" si="20"/>
        <v>2312641</v>
      </c>
      <c r="H344" s="12">
        <f t="shared" si="21"/>
        <v>2.0304244946939178</v>
      </c>
      <c r="I344" s="12">
        <f t="shared" si="22"/>
        <v>82.336452691950882</v>
      </c>
      <c r="J344">
        <f t="shared" si="23"/>
        <v>17779</v>
      </c>
      <c r="M344" s="5" t="s">
        <v>55</v>
      </c>
      <c r="N344" s="7">
        <v>2312641</v>
      </c>
    </row>
    <row r="345" spans="1:14" x14ac:dyDescent="0.3">
      <c r="A345" s="5" t="s">
        <v>55</v>
      </c>
      <c r="B345" s="6" t="s">
        <v>12</v>
      </c>
      <c r="C345" s="6">
        <v>14816765</v>
      </c>
      <c r="D345" s="6">
        <v>233322</v>
      </c>
      <c r="E345" s="6">
        <v>11142561</v>
      </c>
      <c r="F345" s="6"/>
      <c r="G345" s="7">
        <f t="shared" si="20"/>
        <v>3440882</v>
      </c>
      <c r="H345" s="12">
        <f t="shared" si="21"/>
        <v>1.5747162082951305</v>
      </c>
      <c r="I345" s="12">
        <f t="shared" si="22"/>
        <v>75.202387295742355</v>
      </c>
      <c r="J345">
        <f t="shared" si="23"/>
        <v>23553</v>
      </c>
      <c r="M345" s="5" t="s">
        <v>55</v>
      </c>
      <c r="N345" s="7">
        <v>3440882</v>
      </c>
    </row>
    <row r="346" spans="1:14" x14ac:dyDescent="0.3">
      <c r="A346" s="5" t="s">
        <v>56</v>
      </c>
      <c r="B346" s="6" t="s">
        <v>12</v>
      </c>
      <c r="C346" s="6">
        <v>14828944</v>
      </c>
      <c r="D346" s="6">
        <v>351352</v>
      </c>
      <c r="E346" s="6">
        <v>10643845</v>
      </c>
      <c r="F346" s="6"/>
      <c r="G346" s="7">
        <f t="shared" si="20"/>
        <v>3833747</v>
      </c>
      <c r="H346" s="12">
        <f t="shared" si="21"/>
        <v>2.3693662879838242</v>
      </c>
      <c r="I346" s="12">
        <f t="shared" si="22"/>
        <v>71.777498114498243</v>
      </c>
      <c r="J346">
        <f t="shared" si="23"/>
        <v>12179</v>
      </c>
      <c r="M346" s="5" t="s">
        <v>56</v>
      </c>
      <c r="N346" s="7">
        <v>3833747</v>
      </c>
    </row>
    <row r="347" spans="1:14" x14ac:dyDescent="0.3">
      <c r="A347" s="5" t="s">
        <v>56</v>
      </c>
      <c r="B347" s="6" t="s">
        <v>12</v>
      </c>
      <c r="C347" s="6">
        <v>14854586</v>
      </c>
      <c r="D347" s="6">
        <v>407703</v>
      </c>
      <c r="E347" s="6">
        <v>10860109</v>
      </c>
      <c r="F347" s="6"/>
      <c r="G347" s="7">
        <f t="shared" si="20"/>
        <v>3586774</v>
      </c>
      <c r="H347" s="12">
        <f t="shared" si="21"/>
        <v>2.7446271474681287</v>
      </c>
      <c r="I347" s="12">
        <f t="shared" si="22"/>
        <v>73.109469358486336</v>
      </c>
      <c r="J347">
        <f t="shared" si="23"/>
        <v>25642</v>
      </c>
      <c r="M347" s="5" t="s">
        <v>56</v>
      </c>
      <c r="N347" s="7">
        <v>3586774</v>
      </c>
    </row>
    <row r="348" spans="1:14" x14ac:dyDescent="0.3">
      <c r="A348" s="5" t="s">
        <v>56</v>
      </c>
      <c r="B348" s="6" t="s">
        <v>12</v>
      </c>
      <c r="C348" s="6">
        <v>14900854</v>
      </c>
      <c r="D348" s="6">
        <v>275224</v>
      </c>
      <c r="E348" s="6">
        <v>12454265</v>
      </c>
      <c r="F348" s="6"/>
      <c r="G348" s="7">
        <f t="shared" si="20"/>
        <v>2171365</v>
      </c>
      <c r="H348" s="12">
        <f t="shared" si="21"/>
        <v>1.8470350759761822</v>
      </c>
      <c r="I348" s="12">
        <f t="shared" si="22"/>
        <v>83.580880666302747</v>
      </c>
      <c r="J348">
        <f t="shared" si="23"/>
        <v>46268</v>
      </c>
      <c r="M348" s="5" t="s">
        <v>56</v>
      </c>
      <c r="N348" s="7">
        <v>2171365</v>
      </c>
    </row>
    <row r="349" spans="1:14" x14ac:dyDescent="0.3">
      <c r="A349" s="5" t="s">
        <v>56</v>
      </c>
      <c r="B349" s="6" t="s">
        <v>12</v>
      </c>
      <c r="C349" s="6">
        <v>14933159</v>
      </c>
      <c r="D349" s="6">
        <v>443660</v>
      </c>
      <c r="E349" s="6">
        <v>11957075</v>
      </c>
      <c r="F349" s="6"/>
      <c r="G349" s="7">
        <f t="shared" si="20"/>
        <v>2532424</v>
      </c>
      <c r="H349" s="12">
        <f t="shared" si="21"/>
        <v>2.970972183447588</v>
      </c>
      <c r="I349" s="12">
        <f t="shared" si="22"/>
        <v>80.070633413867753</v>
      </c>
      <c r="J349">
        <f t="shared" si="23"/>
        <v>32305</v>
      </c>
      <c r="M349" s="5" t="s">
        <v>56</v>
      </c>
      <c r="N349" s="7">
        <v>2532424</v>
      </c>
    </row>
    <row r="350" spans="1:14" x14ac:dyDescent="0.3">
      <c r="A350" s="5" t="s">
        <v>56</v>
      </c>
      <c r="B350" s="6" t="s">
        <v>12</v>
      </c>
      <c r="C350" s="6">
        <v>14958510</v>
      </c>
      <c r="D350" s="6">
        <v>261188</v>
      </c>
      <c r="E350" s="6">
        <v>11607186</v>
      </c>
      <c r="F350" s="6"/>
      <c r="G350" s="7">
        <f t="shared" si="20"/>
        <v>3090136</v>
      </c>
      <c r="H350" s="12">
        <f t="shared" si="21"/>
        <v>1.746082998908314</v>
      </c>
      <c r="I350" s="12">
        <f t="shared" si="22"/>
        <v>77.59587017690933</v>
      </c>
      <c r="J350">
        <f t="shared" si="23"/>
        <v>25351</v>
      </c>
      <c r="M350" s="5" t="s">
        <v>56</v>
      </c>
      <c r="N350" s="7">
        <v>3090136</v>
      </c>
    </row>
    <row r="351" spans="1:14" x14ac:dyDescent="0.3">
      <c r="A351" s="5" t="s">
        <v>56</v>
      </c>
      <c r="B351" s="6" t="s">
        <v>12</v>
      </c>
      <c r="C351" s="6">
        <v>14963738</v>
      </c>
      <c r="D351" s="6">
        <v>318105</v>
      </c>
      <c r="E351" s="6">
        <v>13124070</v>
      </c>
      <c r="F351" s="6"/>
      <c r="G351" s="7">
        <f t="shared" si="20"/>
        <v>1521563</v>
      </c>
      <c r="H351" s="12">
        <f t="shared" si="21"/>
        <v>2.125839145272391</v>
      </c>
      <c r="I351" s="12">
        <f t="shared" si="22"/>
        <v>87.705825910611367</v>
      </c>
      <c r="J351">
        <f t="shared" si="23"/>
        <v>5228</v>
      </c>
      <c r="M351" s="5" t="s">
        <v>56</v>
      </c>
      <c r="N351" s="7">
        <v>1521563</v>
      </c>
    </row>
    <row r="352" spans="1:14" x14ac:dyDescent="0.3">
      <c r="A352" s="5" t="s">
        <v>56</v>
      </c>
      <c r="B352" s="6" t="s">
        <v>12</v>
      </c>
      <c r="C352" s="6">
        <v>15003590</v>
      </c>
      <c r="D352" s="6">
        <v>330709</v>
      </c>
      <c r="E352" s="6">
        <v>12764465</v>
      </c>
      <c r="F352" s="6"/>
      <c r="G352" s="7">
        <f t="shared" si="20"/>
        <v>1908416</v>
      </c>
      <c r="H352" s="12">
        <f t="shared" si="21"/>
        <v>2.20419912834195</v>
      </c>
      <c r="I352" s="12">
        <f t="shared" si="22"/>
        <v>85.076071793484104</v>
      </c>
      <c r="J352">
        <f t="shared" si="23"/>
        <v>39852</v>
      </c>
      <c r="M352" s="5" t="s">
        <v>56</v>
      </c>
      <c r="N352" s="7">
        <v>1908416</v>
      </c>
    </row>
    <row r="353" spans="1:14" x14ac:dyDescent="0.3">
      <c r="A353" s="5" t="s">
        <v>56</v>
      </c>
      <c r="B353" s="6" t="s">
        <v>12</v>
      </c>
      <c r="C353" s="6">
        <v>15004956</v>
      </c>
      <c r="D353" s="6">
        <v>317766</v>
      </c>
      <c r="E353" s="6">
        <v>11431665</v>
      </c>
      <c r="F353" s="6"/>
      <c r="G353" s="7">
        <f t="shared" si="20"/>
        <v>3255525</v>
      </c>
      <c r="H353" s="12">
        <f t="shared" si="21"/>
        <v>2.1177402986053409</v>
      </c>
      <c r="I353" s="12">
        <f t="shared" si="22"/>
        <v>76.185928169332854</v>
      </c>
      <c r="J353">
        <f t="shared" si="23"/>
        <v>1366</v>
      </c>
      <c r="M353" s="5" t="s">
        <v>56</v>
      </c>
      <c r="N353" s="7">
        <v>3255525</v>
      </c>
    </row>
    <row r="354" spans="1:14" x14ac:dyDescent="0.3">
      <c r="A354" s="5" t="s">
        <v>57</v>
      </c>
      <c r="B354" s="6" t="s">
        <v>12</v>
      </c>
      <c r="C354" s="6">
        <v>15018419</v>
      </c>
      <c r="D354" s="6">
        <v>423950</v>
      </c>
      <c r="E354" s="6">
        <v>11279395</v>
      </c>
      <c r="F354" s="6"/>
      <c r="G354" s="7">
        <f t="shared" si="20"/>
        <v>3315074</v>
      </c>
      <c r="H354" s="12">
        <f t="shared" si="21"/>
        <v>2.8228670407983691</v>
      </c>
      <c r="I354" s="12">
        <f t="shared" si="22"/>
        <v>75.103744275612499</v>
      </c>
      <c r="J354">
        <f t="shared" si="23"/>
        <v>13463</v>
      </c>
      <c r="M354" s="5" t="s">
        <v>57</v>
      </c>
      <c r="N354" s="7">
        <v>3315074</v>
      </c>
    </row>
    <row r="355" spans="1:14" x14ac:dyDescent="0.3">
      <c r="A355" s="5" t="s">
        <v>57</v>
      </c>
      <c r="B355" s="6" t="s">
        <v>12</v>
      </c>
      <c r="C355" s="6">
        <v>15060011</v>
      </c>
      <c r="D355" s="6">
        <v>417573</v>
      </c>
      <c r="E355" s="6">
        <v>12472672</v>
      </c>
      <c r="F355" s="6"/>
      <c r="G355" s="7">
        <f t="shared" si="20"/>
        <v>2169766</v>
      </c>
      <c r="H355" s="12">
        <f t="shared" si="21"/>
        <v>2.7727270584330914</v>
      </c>
      <c r="I355" s="12">
        <f t="shared" si="22"/>
        <v>82.81980670532046</v>
      </c>
      <c r="J355">
        <f t="shared" si="23"/>
        <v>41592</v>
      </c>
      <c r="M355" s="5" t="s">
        <v>57</v>
      </c>
      <c r="N355" s="7">
        <v>2169766</v>
      </c>
    </row>
    <row r="356" spans="1:14" x14ac:dyDescent="0.3">
      <c r="A356" s="5" t="s">
        <v>57</v>
      </c>
      <c r="B356" s="6" t="s">
        <v>12</v>
      </c>
      <c r="C356" s="6">
        <v>15098962</v>
      </c>
      <c r="D356" s="6">
        <v>346082</v>
      </c>
      <c r="E356" s="6">
        <v>10633206</v>
      </c>
      <c r="F356" s="6"/>
      <c r="G356" s="7">
        <f t="shared" si="20"/>
        <v>4119674</v>
      </c>
      <c r="H356" s="12">
        <f t="shared" si="21"/>
        <v>2.2920913371395994</v>
      </c>
      <c r="I356" s="12">
        <f t="shared" si="22"/>
        <v>70.423423808868449</v>
      </c>
      <c r="J356">
        <f t="shared" si="23"/>
        <v>38951</v>
      </c>
      <c r="M356" s="5" t="s">
        <v>57</v>
      </c>
      <c r="N356" s="7">
        <v>4119674</v>
      </c>
    </row>
    <row r="357" spans="1:14" x14ac:dyDescent="0.3">
      <c r="A357" s="5" t="s">
        <v>57</v>
      </c>
      <c r="B357" s="6" t="s">
        <v>12</v>
      </c>
      <c r="C357" s="6">
        <v>15138361</v>
      </c>
      <c r="D357" s="6">
        <v>426189</v>
      </c>
      <c r="E357" s="6">
        <v>13248401</v>
      </c>
      <c r="F357" s="6"/>
      <c r="G357" s="7">
        <f t="shared" si="20"/>
        <v>1463771</v>
      </c>
      <c r="H357" s="12">
        <f t="shared" si="21"/>
        <v>2.8152915629373618</v>
      </c>
      <c r="I357" s="12">
        <f t="shared" si="22"/>
        <v>87.515425216772144</v>
      </c>
      <c r="J357">
        <f t="shared" si="23"/>
        <v>39399</v>
      </c>
      <c r="M357" s="5" t="s">
        <v>57</v>
      </c>
      <c r="N357" s="7">
        <v>1463771</v>
      </c>
    </row>
    <row r="358" spans="1:14" x14ac:dyDescent="0.3">
      <c r="A358" s="5" t="s">
        <v>57</v>
      </c>
      <c r="B358" s="6" t="s">
        <v>12</v>
      </c>
      <c r="C358" s="6">
        <v>15152422</v>
      </c>
      <c r="D358" s="6">
        <v>256735</v>
      </c>
      <c r="E358" s="6">
        <v>12725619</v>
      </c>
      <c r="F358" s="6"/>
      <c r="G358" s="7">
        <f t="shared" si="20"/>
        <v>2170068</v>
      </c>
      <c r="H358" s="12">
        <f t="shared" si="21"/>
        <v>1.694349589788352</v>
      </c>
      <c r="I358" s="12">
        <f t="shared" si="22"/>
        <v>83.984058786113536</v>
      </c>
      <c r="J358">
        <f t="shared" si="23"/>
        <v>14061</v>
      </c>
      <c r="M358" s="5" t="s">
        <v>57</v>
      </c>
      <c r="N358" s="7">
        <v>2170068</v>
      </c>
    </row>
    <row r="359" spans="1:14" x14ac:dyDescent="0.3">
      <c r="A359" s="5" t="s">
        <v>57</v>
      </c>
      <c r="B359" s="6" t="s">
        <v>12</v>
      </c>
      <c r="C359" s="6">
        <v>15182420</v>
      </c>
      <c r="D359" s="6">
        <v>365872</v>
      </c>
      <c r="E359" s="6">
        <v>11786588</v>
      </c>
      <c r="F359" s="6"/>
      <c r="G359" s="7">
        <f t="shared" si="20"/>
        <v>3029960</v>
      </c>
      <c r="H359" s="12">
        <f t="shared" si="21"/>
        <v>2.4098398015599622</v>
      </c>
      <c r="I359" s="12">
        <f t="shared" si="22"/>
        <v>77.63313095013838</v>
      </c>
      <c r="J359">
        <f t="shared" si="23"/>
        <v>29998</v>
      </c>
      <c r="M359" s="5" t="s">
        <v>57</v>
      </c>
      <c r="N359" s="7">
        <v>3029960</v>
      </c>
    </row>
    <row r="360" spans="1:14" x14ac:dyDescent="0.3">
      <c r="A360" s="5" t="s">
        <v>57</v>
      </c>
      <c r="B360" s="6" t="s">
        <v>12</v>
      </c>
      <c r="C360" s="6">
        <v>15232385</v>
      </c>
      <c r="D360" s="6">
        <v>290450</v>
      </c>
      <c r="E360" s="6">
        <v>12387019</v>
      </c>
      <c r="F360" s="6"/>
      <c r="G360" s="7">
        <f t="shared" si="20"/>
        <v>2554916</v>
      </c>
      <c r="H360" s="12">
        <f t="shared" si="21"/>
        <v>1.9067926657578573</v>
      </c>
      <c r="I360" s="12">
        <f t="shared" si="22"/>
        <v>81.320285693934338</v>
      </c>
      <c r="J360">
        <f t="shared" si="23"/>
        <v>49965</v>
      </c>
      <c r="M360" s="5" t="s">
        <v>57</v>
      </c>
      <c r="N360" s="7">
        <v>2554916</v>
      </c>
    </row>
    <row r="361" spans="1:14" x14ac:dyDescent="0.3">
      <c r="A361" s="5" t="s">
        <v>57</v>
      </c>
      <c r="B361" s="6" t="s">
        <v>12</v>
      </c>
      <c r="C361" s="6">
        <v>15278699</v>
      </c>
      <c r="D361" s="6">
        <v>397105</v>
      </c>
      <c r="E361" s="6">
        <v>12606065</v>
      </c>
      <c r="F361" s="6"/>
      <c r="G361" s="7">
        <f t="shared" si="20"/>
        <v>2275529</v>
      </c>
      <c r="H361" s="12">
        <f t="shared" si="21"/>
        <v>2.599076007715055</v>
      </c>
      <c r="I361" s="12">
        <f t="shared" si="22"/>
        <v>82.507450405299565</v>
      </c>
      <c r="J361">
        <f t="shared" si="23"/>
        <v>46314</v>
      </c>
      <c r="M361" s="5" t="s">
        <v>57</v>
      </c>
      <c r="N361" s="7">
        <v>2275529</v>
      </c>
    </row>
    <row r="362" spans="1:14" x14ac:dyDescent="0.3">
      <c r="A362" s="5" t="s">
        <v>58</v>
      </c>
      <c r="B362" s="6" t="s">
        <v>12</v>
      </c>
      <c r="C362" s="6">
        <v>15318616</v>
      </c>
      <c r="D362" s="6">
        <v>338545</v>
      </c>
      <c r="E362" s="6">
        <v>11031710</v>
      </c>
      <c r="F362" s="6"/>
      <c r="G362" s="7">
        <f t="shared" si="20"/>
        <v>3948361</v>
      </c>
      <c r="H362" s="12">
        <f t="shared" si="21"/>
        <v>2.2100234120367013</v>
      </c>
      <c r="I362" s="12">
        <f t="shared" si="22"/>
        <v>72.015056712695184</v>
      </c>
      <c r="J362">
        <f t="shared" si="23"/>
        <v>39917</v>
      </c>
      <c r="M362" s="5" t="s">
        <v>58</v>
      </c>
      <c r="N362" s="7">
        <v>3948361</v>
      </c>
    </row>
    <row r="363" spans="1:14" x14ac:dyDescent="0.3">
      <c r="A363" s="5" t="s">
        <v>58</v>
      </c>
      <c r="B363" s="6" t="s">
        <v>12</v>
      </c>
      <c r="C363" s="6">
        <v>15326414</v>
      </c>
      <c r="D363" s="6">
        <v>275300</v>
      </c>
      <c r="E363" s="6">
        <v>13142379</v>
      </c>
      <c r="F363" s="6"/>
      <c r="G363" s="7">
        <f t="shared" si="20"/>
        <v>1908735</v>
      </c>
      <c r="H363" s="12">
        <f t="shared" si="21"/>
        <v>1.7962453578508317</v>
      </c>
      <c r="I363" s="12">
        <f t="shared" si="22"/>
        <v>85.749862949023822</v>
      </c>
      <c r="J363">
        <f t="shared" si="23"/>
        <v>7798</v>
      </c>
      <c r="M363" s="5" t="s">
        <v>58</v>
      </c>
      <c r="N363" s="7">
        <v>1908735</v>
      </c>
    </row>
    <row r="364" spans="1:14" x14ac:dyDescent="0.3">
      <c r="A364" s="5" t="s">
        <v>58</v>
      </c>
      <c r="B364" s="6" t="s">
        <v>12</v>
      </c>
      <c r="C364" s="6">
        <v>15341340</v>
      </c>
      <c r="D364" s="6">
        <v>393384</v>
      </c>
      <c r="E364" s="6">
        <v>10821096</v>
      </c>
      <c r="F364" s="6"/>
      <c r="G364" s="7">
        <f t="shared" si="20"/>
        <v>4126860</v>
      </c>
      <c r="H364" s="12">
        <f t="shared" si="21"/>
        <v>2.5642088631110447</v>
      </c>
      <c r="I364" s="12">
        <f t="shared" si="22"/>
        <v>70.535533401906221</v>
      </c>
      <c r="J364">
        <f t="shared" si="23"/>
        <v>14926</v>
      </c>
      <c r="M364" s="5" t="s">
        <v>58</v>
      </c>
      <c r="N364" s="7">
        <v>4126860</v>
      </c>
    </row>
    <row r="365" spans="1:14" x14ac:dyDescent="0.3">
      <c r="A365" s="5" t="s">
        <v>58</v>
      </c>
      <c r="B365" s="6" t="s">
        <v>12</v>
      </c>
      <c r="C365" s="6">
        <v>15374424</v>
      </c>
      <c r="D365" s="6">
        <v>292501</v>
      </c>
      <c r="E365" s="6">
        <v>13548754</v>
      </c>
      <c r="F365" s="6"/>
      <c r="G365" s="7">
        <f t="shared" si="20"/>
        <v>1533169</v>
      </c>
      <c r="H365" s="12">
        <f t="shared" si="21"/>
        <v>1.9025168032311326</v>
      </c>
      <c r="I365" s="12">
        <f t="shared" si="22"/>
        <v>88.125278709628404</v>
      </c>
      <c r="J365">
        <f t="shared" si="23"/>
        <v>33084</v>
      </c>
      <c r="M365" s="5" t="s">
        <v>58</v>
      </c>
      <c r="N365" s="7">
        <v>1533169</v>
      </c>
    </row>
    <row r="366" spans="1:14" x14ac:dyDescent="0.3">
      <c r="A366" s="5" t="s">
        <v>58</v>
      </c>
      <c r="B366" s="6" t="s">
        <v>12</v>
      </c>
      <c r="C366" s="6">
        <v>15411442</v>
      </c>
      <c r="D366" s="6">
        <v>413372</v>
      </c>
      <c r="E366" s="6">
        <v>12059116</v>
      </c>
      <c r="F366" s="6"/>
      <c r="G366" s="7">
        <f t="shared" si="20"/>
        <v>2938954</v>
      </c>
      <c r="H366" s="12">
        <f t="shared" si="21"/>
        <v>2.6822408960822743</v>
      </c>
      <c r="I366" s="12">
        <f t="shared" si="22"/>
        <v>78.247810944621534</v>
      </c>
      <c r="J366">
        <f t="shared" si="23"/>
        <v>37018</v>
      </c>
      <c r="M366" s="5" t="s">
        <v>58</v>
      </c>
      <c r="N366" s="7">
        <v>2938954</v>
      </c>
    </row>
    <row r="367" spans="1:14" x14ac:dyDescent="0.3">
      <c r="A367" s="5" t="s">
        <v>58</v>
      </c>
      <c r="B367" s="6" t="s">
        <v>12</v>
      </c>
      <c r="C367" s="6">
        <v>15420139</v>
      </c>
      <c r="D367" s="6">
        <v>438465</v>
      </c>
      <c r="E367" s="6">
        <v>12081934</v>
      </c>
      <c r="F367" s="6"/>
      <c r="G367" s="7">
        <f t="shared" si="20"/>
        <v>2899740</v>
      </c>
      <c r="H367" s="12">
        <f t="shared" si="21"/>
        <v>2.84345685859252</v>
      </c>
      <c r="I367" s="12">
        <f t="shared" si="22"/>
        <v>78.351654287941244</v>
      </c>
      <c r="J367">
        <f t="shared" si="23"/>
        <v>8697</v>
      </c>
      <c r="M367" s="5" t="s">
        <v>58</v>
      </c>
      <c r="N367" s="7">
        <v>2899740</v>
      </c>
    </row>
    <row r="368" spans="1:14" x14ac:dyDescent="0.3">
      <c r="A368" s="5" t="s">
        <v>58</v>
      </c>
      <c r="B368" s="6" t="s">
        <v>12</v>
      </c>
      <c r="C368" s="6">
        <v>15432049</v>
      </c>
      <c r="D368" s="6">
        <v>270866</v>
      </c>
      <c r="E368" s="6">
        <v>12030452</v>
      </c>
      <c r="F368" s="6"/>
      <c r="G368" s="7">
        <f t="shared" si="20"/>
        <v>3130731</v>
      </c>
      <c r="H368" s="12">
        <f t="shared" si="21"/>
        <v>1.7552173402248787</v>
      </c>
      <c r="I368" s="12">
        <f t="shared" si="22"/>
        <v>77.957580357605138</v>
      </c>
      <c r="J368">
        <f t="shared" si="23"/>
        <v>11910</v>
      </c>
      <c r="M368" s="5" t="s">
        <v>58</v>
      </c>
      <c r="N368" s="7">
        <v>3130731</v>
      </c>
    </row>
    <row r="369" spans="1:14" x14ac:dyDescent="0.3">
      <c r="A369" s="5" t="s">
        <v>58</v>
      </c>
      <c r="B369" s="6" t="s">
        <v>12</v>
      </c>
      <c r="C369" s="6">
        <v>15450862</v>
      </c>
      <c r="D369" s="6">
        <v>169282</v>
      </c>
      <c r="E369" s="6">
        <v>11364073</v>
      </c>
      <c r="F369" s="6"/>
      <c r="G369" s="7">
        <f t="shared" si="20"/>
        <v>3917507</v>
      </c>
      <c r="H369" s="12">
        <f t="shared" si="21"/>
        <v>1.0956152478741963</v>
      </c>
      <c r="I369" s="12">
        <f t="shared" si="22"/>
        <v>73.54976699681869</v>
      </c>
      <c r="J369">
        <f t="shared" si="23"/>
        <v>18813</v>
      </c>
      <c r="M369" s="5" t="s">
        <v>58</v>
      </c>
      <c r="N369" s="7">
        <v>3917507</v>
      </c>
    </row>
    <row r="370" spans="1:14" x14ac:dyDescent="0.3">
      <c r="A370" s="5" t="s">
        <v>59</v>
      </c>
      <c r="B370" s="6" t="s">
        <v>12</v>
      </c>
      <c r="C370" s="6">
        <v>15488418</v>
      </c>
      <c r="D370" s="6">
        <v>351101</v>
      </c>
      <c r="E370" s="6">
        <v>13014001</v>
      </c>
      <c r="F370" s="6"/>
      <c r="G370" s="7">
        <f t="shared" si="20"/>
        <v>2123316</v>
      </c>
      <c r="H370" s="12">
        <f t="shared" si="21"/>
        <v>2.2668615994222261</v>
      </c>
      <c r="I370" s="12">
        <f t="shared" si="22"/>
        <v>84.024081736430418</v>
      </c>
      <c r="J370">
        <f t="shared" si="23"/>
        <v>37556</v>
      </c>
      <c r="M370" s="5" t="s">
        <v>59</v>
      </c>
      <c r="N370" s="7">
        <v>2123316</v>
      </c>
    </row>
    <row r="371" spans="1:14" x14ac:dyDescent="0.3">
      <c r="A371" s="5" t="s">
        <v>59</v>
      </c>
      <c r="B371" s="6" t="s">
        <v>12</v>
      </c>
      <c r="C371" s="6">
        <v>15519423</v>
      </c>
      <c r="D371" s="6">
        <v>273916</v>
      </c>
      <c r="E371" s="6">
        <v>13344921</v>
      </c>
      <c r="F371" s="6"/>
      <c r="G371" s="7">
        <f t="shared" si="20"/>
        <v>1900586</v>
      </c>
      <c r="H371" s="12">
        <f t="shared" si="21"/>
        <v>1.764988298856214</v>
      </c>
      <c r="I371" s="12">
        <f t="shared" si="22"/>
        <v>85.988512588386826</v>
      </c>
      <c r="J371">
        <f t="shared" si="23"/>
        <v>31005</v>
      </c>
      <c r="M371" s="5" t="s">
        <v>59</v>
      </c>
      <c r="N371" s="7">
        <v>1900586</v>
      </c>
    </row>
    <row r="372" spans="1:14" x14ac:dyDescent="0.3">
      <c r="A372" s="5" t="s">
        <v>59</v>
      </c>
      <c r="B372" s="6" t="s">
        <v>12</v>
      </c>
      <c r="C372" s="6">
        <v>15558770</v>
      </c>
      <c r="D372" s="6">
        <v>394858</v>
      </c>
      <c r="E372" s="6">
        <v>11760231</v>
      </c>
      <c r="F372" s="6"/>
      <c r="G372" s="7">
        <f t="shared" si="20"/>
        <v>3403681</v>
      </c>
      <c r="H372" s="12">
        <f t="shared" si="21"/>
        <v>2.5378484288925156</v>
      </c>
      <c r="I372" s="12">
        <f t="shared" si="22"/>
        <v>75.585865720747847</v>
      </c>
      <c r="J372">
        <f t="shared" si="23"/>
        <v>39347</v>
      </c>
      <c r="M372" s="5" t="s">
        <v>59</v>
      </c>
      <c r="N372" s="7">
        <v>3403681</v>
      </c>
    </row>
    <row r="373" spans="1:14" x14ac:dyDescent="0.3">
      <c r="A373" s="5" t="s">
        <v>59</v>
      </c>
      <c r="B373" s="6" t="s">
        <v>12</v>
      </c>
      <c r="C373" s="6">
        <v>15570125</v>
      </c>
      <c r="D373" s="6">
        <v>378902</v>
      </c>
      <c r="E373" s="6">
        <v>11550611</v>
      </c>
      <c r="F373" s="6"/>
      <c r="G373" s="7">
        <f t="shared" si="20"/>
        <v>3640612</v>
      </c>
      <c r="H373" s="12">
        <f t="shared" si="21"/>
        <v>2.4335193198513179</v>
      </c>
      <c r="I373" s="12">
        <f t="shared" si="22"/>
        <v>74.184446174966482</v>
      </c>
      <c r="J373">
        <f t="shared" si="23"/>
        <v>11355</v>
      </c>
      <c r="M373" s="5" t="s">
        <v>59</v>
      </c>
      <c r="N373" s="7">
        <v>3640612</v>
      </c>
    </row>
    <row r="374" spans="1:14" x14ac:dyDescent="0.3">
      <c r="A374" s="5" t="s">
        <v>59</v>
      </c>
      <c r="B374" s="6" t="s">
        <v>12</v>
      </c>
      <c r="C374" s="6">
        <v>15607379</v>
      </c>
      <c r="D374" s="6">
        <v>204349</v>
      </c>
      <c r="E374" s="6">
        <v>11385234</v>
      </c>
      <c r="F374" s="6"/>
      <c r="G374" s="7">
        <f t="shared" si="20"/>
        <v>4017796</v>
      </c>
      <c r="H374" s="12">
        <f t="shared" si="21"/>
        <v>1.3093101666846176</v>
      </c>
      <c r="I374" s="12">
        <f t="shared" si="22"/>
        <v>72.94776400316799</v>
      </c>
      <c r="J374">
        <f t="shared" si="23"/>
        <v>37254</v>
      </c>
      <c r="M374" s="5" t="s">
        <v>59</v>
      </c>
      <c r="N374" s="7">
        <v>4017796</v>
      </c>
    </row>
    <row r="375" spans="1:14" x14ac:dyDescent="0.3">
      <c r="A375" s="5" t="s">
        <v>59</v>
      </c>
      <c r="B375" s="6" t="s">
        <v>12</v>
      </c>
      <c r="C375" s="6">
        <v>15646781</v>
      </c>
      <c r="D375" s="6">
        <v>460588</v>
      </c>
      <c r="E375" s="6">
        <v>13604969</v>
      </c>
      <c r="F375" s="6"/>
      <c r="G375" s="7">
        <f t="shared" si="20"/>
        <v>1581224</v>
      </c>
      <c r="H375" s="12">
        <f t="shared" si="21"/>
        <v>2.943659785357768</v>
      </c>
      <c r="I375" s="12">
        <f t="shared" si="22"/>
        <v>86.950593863363963</v>
      </c>
      <c r="J375">
        <f t="shared" si="23"/>
        <v>39402</v>
      </c>
      <c r="M375" s="5" t="s">
        <v>59</v>
      </c>
      <c r="N375" s="7">
        <v>1581224</v>
      </c>
    </row>
    <row r="376" spans="1:14" x14ac:dyDescent="0.3">
      <c r="A376" s="5" t="s">
        <v>59</v>
      </c>
      <c r="B376" s="6" t="s">
        <v>12</v>
      </c>
      <c r="C376" s="6">
        <v>15670966</v>
      </c>
      <c r="D376" s="6">
        <v>367897</v>
      </c>
      <c r="E376" s="6">
        <v>13785267</v>
      </c>
      <c r="F376" s="6"/>
      <c r="G376" s="7">
        <f t="shared" si="20"/>
        <v>1517802</v>
      </c>
      <c r="H376" s="12">
        <f t="shared" si="21"/>
        <v>2.3476344725653799</v>
      </c>
      <c r="I376" s="12">
        <f t="shared" si="22"/>
        <v>87.966925587101656</v>
      </c>
      <c r="J376">
        <f t="shared" si="23"/>
        <v>24185</v>
      </c>
      <c r="M376" s="5" t="s">
        <v>59</v>
      </c>
      <c r="N376" s="7">
        <v>1517802</v>
      </c>
    </row>
    <row r="377" spans="1:14" x14ac:dyDescent="0.3">
      <c r="A377" s="5" t="s">
        <v>59</v>
      </c>
      <c r="B377" s="6" t="s">
        <v>12</v>
      </c>
      <c r="C377" s="6">
        <v>15679596</v>
      </c>
      <c r="D377" s="6">
        <v>275894</v>
      </c>
      <c r="E377" s="6">
        <v>11204285</v>
      </c>
      <c r="F377" s="6"/>
      <c r="G377" s="7">
        <f t="shared" si="20"/>
        <v>4199417</v>
      </c>
      <c r="H377" s="12">
        <f t="shared" si="21"/>
        <v>1.7595733971717129</v>
      </c>
      <c r="I377" s="12">
        <f t="shared" si="22"/>
        <v>71.457740365249208</v>
      </c>
      <c r="J377">
        <f t="shared" si="23"/>
        <v>8630</v>
      </c>
      <c r="M377" s="5" t="s">
        <v>59</v>
      </c>
      <c r="N377" s="7">
        <v>4199417</v>
      </c>
    </row>
    <row r="378" spans="1:14" x14ac:dyDescent="0.3">
      <c r="A378" s="5" t="s">
        <v>60</v>
      </c>
      <c r="B378" s="6" t="s">
        <v>12</v>
      </c>
      <c r="C378" s="6">
        <v>15684920</v>
      </c>
      <c r="D378" s="6">
        <v>372428</v>
      </c>
      <c r="E378" s="6">
        <v>12618063</v>
      </c>
      <c r="F378" s="6"/>
      <c r="G378" s="7">
        <f t="shared" si="20"/>
        <v>2694429</v>
      </c>
      <c r="H378" s="12">
        <f t="shared" si="21"/>
        <v>2.3744335323355172</v>
      </c>
      <c r="I378" s="12">
        <f t="shared" si="22"/>
        <v>80.44709823193233</v>
      </c>
      <c r="J378">
        <f t="shared" si="23"/>
        <v>5324</v>
      </c>
      <c r="M378" s="5" t="s">
        <v>60</v>
      </c>
      <c r="N378" s="7">
        <v>2694429</v>
      </c>
    </row>
    <row r="379" spans="1:14" x14ac:dyDescent="0.3">
      <c r="A379" s="5" t="s">
        <v>60</v>
      </c>
      <c r="B379" s="6" t="s">
        <v>12</v>
      </c>
      <c r="C379" s="6">
        <v>15710361</v>
      </c>
      <c r="D379" s="6">
        <v>321615</v>
      </c>
      <c r="E379" s="6">
        <v>11160029</v>
      </c>
      <c r="F379" s="6"/>
      <c r="G379" s="7">
        <f t="shared" si="20"/>
        <v>4228717</v>
      </c>
      <c r="H379" s="12">
        <f t="shared" si="21"/>
        <v>2.0471521946567619</v>
      </c>
      <c r="I379" s="12">
        <f t="shared" si="22"/>
        <v>71.03610795448941</v>
      </c>
      <c r="J379">
        <f t="shared" si="23"/>
        <v>25441</v>
      </c>
      <c r="M379" s="5" t="s">
        <v>60</v>
      </c>
      <c r="N379" s="7">
        <v>4228717</v>
      </c>
    </row>
    <row r="380" spans="1:14" x14ac:dyDescent="0.3">
      <c r="A380" s="5" t="s">
        <v>60</v>
      </c>
      <c r="B380" s="6" t="s">
        <v>12</v>
      </c>
      <c r="C380" s="6">
        <v>15719991</v>
      </c>
      <c r="D380" s="6">
        <v>257827</v>
      </c>
      <c r="E380" s="6">
        <v>11547135</v>
      </c>
      <c r="F380" s="6"/>
      <c r="G380" s="7">
        <f t="shared" si="20"/>
        <v>3915029</v>
      </c>
      <c r="H380" s="12">
        <f t="shared" si="21"/>
        <v>1.640121804140982</v>
      </c>
      <c r="I380" s="12">
        <f t="shared" si="22"/>
        <v>73.455099306354569</v>
      </c>
      <c r="J380">
        <f t="shared" si="23"/>
        <v>9630</v>
      </c>
      <c r="M380" s="5" t="s">
        <v>60</v>
      </c>
      <c r="N380" s="7">
        <v>3915029</v>
      </c>
    </row>
    <row r="381" spans="1:14" x14ac:dyDescent="0.3">
      <c r="A381" s="5" t="s">
        <v>60</v>
      </c>
      <c r="B381" s="6" t="s">
        <v>12</v>
      </c>
      <c r="C381" s="6">
        <v>15765716</v>
      </c>
      <c r="D381" s="6">
        <v>258905</v>
      </c>
      <c r="E381" s="6">
        <v>13393830</v>
      </c>
      <c r="F381" s="6"/>
      <c r="G381" s="7">
        <f t="shared" si="20"/>
        <v>2112981</v>
      </c>
      <c r="H381" s="12">
        <f t="shared" si="21"/>
        <v>1.6422026123012745</v>
      </c>
      <c r="I381" s="12">
        <f t="shared" si="22"/>
        <v>84.955418453560881</v>
      </c>
      <c r="J381">
        <f t="shared" si="23"/>
        <v>45725</v>
      </c>
      <c r="M381" s="5" t="s">
        <v>60</v>
      </c>
      <c r="N381" s="7">
        <v>2112981</v>
      </c>
    </row>
    <row r="382" spans="1:14" x14ac:dyDescent="0.3">
      <c r="A382" s="5" t="s">
        <v>60</v>
      </c>
      <c r="B382" s="6" t="s">
        <v>12</v>
      </c>
      <c r="C382" s="6">
        <v>15813475</v>
      </c>
      <c r="D382" s="6">
        <v>276341</v>
      </c>
      <c r="E382" s="6">
        <v>12042805</v>
      </c>
      <c r="F382" s="6"/>
      <c r="G382" s="7">
        <f t="shared" si="20"/>
        <v>3494329</v>
      </c>
      <c r="H382" s="12">
        <f t="shared" si="21"/>
        <v>1.7475033160010687</v>
      </c>
      <c r="I382" s="12">
        <f t="shared" si="22"/>
        <v>76.15533587652304</v>
      </c>
      <c r="J382">
        <f t="shared" si="23"/>
        <v>47759</v>
      </c>
      <c r="M382" s="5" t="s">
        <v>60</v>
      </c>
      <c r="N382" s="7">
        <v>3494329</v>
      </c>
    </row>
    <row r="383" spans="1:14" x14ac:dyDescent="0.3">
      <c r="A383" s="5" t="s">
        <v>60</v>
      </c>
      <c r="B383" s="6" t="s">
        <v>12</v>
      </c>
      <c r="C383" s="6">
        <v>15823600</v>
      </c>
      <c r="D383" s="6">
        <v>409975</v>
      </c>
      <c r="E383" s="6">
        <v>11935851</v>
      </c>
      <c r="F383" s="6"/>
      <c r="G383" s="7">
        <f t="shared" si="20"/>
        <v>3477774</v>
      </c>
      <c r="H383" s="12">
        <f t="shared" si="21"/>
        <v>2.5909085163932355</v>
      </c>
      <c r="I383" s="12">
        <f t="shared" si="22"/>
        <v>75.430692130741434</v>
      </c>
      <c r="J383">
        <f t="shared" si="23"/>
        <v>10125</v>
      </c>
      <c r="M383" s="5" t="s">
        <v>60</v>
      </c>
      <c r="N383" s="7">
        <v>3477774</v>
      </c>
    </row>
    <row r="384" spans="1:14" x14ac:dyDescent="0.3">
      <c r="A384" s="5" t="s">
        <v>60</v>
      </c>
      <c r="B384" s="6" t="s">
        <v>12</v>
      </c>
      <c r="C384" s="6">
        <v>15825973</v>
      </c>
      <c r="D384" s="6">
        <v>303339</v>
      </c>
      <c r="E384" s="6">
        <v>11750070</v>
      </c>
      <c r="F384" s="6"/>
      <c r="G384" s="7">
        <f t="shared" si="20"/>
        <v>3772564</v>
      </c>
      <c r="H384" s="12">
        <f t="shared" si="21"/>
        <v>1.9167162739377857</v>
      </c>
      <c r="I384" s="12">
        <f t="shared" si="22"/>
        <v>74.245482410465385</v>
      </c>
      <c r="J384">
        <f t="shared" si="23"/>
        <v>2373</v>
      </c>
      <c r="M384" s="5" t="s">
        <v>60</v>
      </c>
      <c r="N384" s="7">
        <v>3772564</v>
      </c>
    </row>
    <row r="385" spans="1:14" x14ac:dyDescent="0.3">
      <c r="A385" s="5" t="s">
        <v>60</v>
      </c>
      <c r="B385" s="6" t="s">
        <v>12</v>
      </c>
      <c r="C385" s="6">
        <v>15855623</v>
      </c>
      <c r="D385" s="6">
        <v>383648</v>
      </c>
      <c r="E385" s="6">
        <v>12416351</v>
      </c>
      <c r="F385" s="6"/>
      <c r="G385" s="7">
        <f t="shared" si="20"/>
        <v>3055624</v>
      </c>
      <c r="H385" s="12">
        <f t="shared" si="21"/>
        <v>2.4196337160640109</v>
      </c>
      <c r="I385" s="12">
        <f t="shared" si="22"/>
        <v>78.308818265923705</v>
      </c>
      <c r="J385">
        <f t="shared" si="23"/>
        <v>29650</v>
      </c>
      <c r="M385" s="5" t="s">
        <v>60</v>
      </c>
      <c r="N385" s="7">
        <v>3055624</v>
      </c>
    </row>
    <row r="386" spans="1:14" x14ac:dyDescent="0.3">
      <c r="A386" s="5" t="s">
        <v>61</v>
      </c>
      <c r="B386" s="6" t="s">
        <v>12</v>
      </c>
      <c r="C386" s="6">
        <v>15867972</v>
      </c>
      <c r="D386" s="6">
        <v>292560</v>
      </c>
      <c r="E386" s="6">
        <v>13605427</v>
      </c>
      <c r="F386" s="6"/>
      <c r="G386" s="7">
        <f t="shared" si="20"/>
        <v>1969985</v>
      </c>
      <c r="H386" s="12">
        <f t="shared" si="21"/>
        <v>1.8437138658928816</v>
      </c>
      <c r="I386" s="12">
        <f t="shared" si="22"/>
        <v>85.741435641555213</v>
      </c>
      <c r="J386">
        <f t="shared" si="23"/>
        <v>12349</v>
      </c>
      <c r="M386" s="5" t="s">
        <v>61</v>
      </c>
      <c r="N386" s="7">
        <v>1969985</v>
      </c>
    </row>
    <row r="387" spans="1:14" x14ac:dyDescent="0.3">
      <c r="A387" s="5" t="s">
        <v>61</v>
      </c>
      <c r="B387" s="6" t="s">
        <v>12</v>
      </c>
      <c r="C387" s="6">
        <v>15871224</v>
      </c>
      <c r="D387" s="6">
        <v>390984</v>
      </c>
      <c r="E387" s="6">
        <v>13739272</v>
      </c>
      <c r="F387" s="6"/>
      <c r="G387" s="7">
        <f t="shared" ref="G387:G450" si="24" xml:space="preserve"> C387-D387-E387</f>
        <v>1740968</v>
      </c>
      <c r="H387" s="12">
        <f t="shared" ref="H387:H450" si="25">D387/C387*100</f>
        <v>2.4634772970251064</v>
      </c>
      <c r="I387" s="12">
        <f t="shared" ref="I387:I450" si="26">E387/C387*100</f>
        <v>86.567185996492768</v>
      </c>
      <c r="J387">
        <f t="shared" ref="J387:J450" si="27">IF(B387=B386,C387-C386,"")</f>
        <v>3252</v>
      </c>
      <c r="M387" s="5" t="s">
        <v>61</v>
      </c>
      <c r="N387" s="7">
        <v>1740968</v>
      </c>
    </row>
    <row r="388" spans="1:14" x14ac:dyDescent="0.3">
      <c r="A388" s="5" t="s">
        <v>61</v>
      </c>
      <c r="B388" s="6" t="s">
        <v>12</v>
      </c>
      <c r="C388" s="6">
        <v>15892741</v>
      </c>
      <c r="D388" s="6">
        <v>452571</v>
      </c>
      <c r="E388" s="6">
        <v>11128966</v>
      </c>
      <c r="F388" s="6"/>
      <c r="G388" s="7">
        <f t="shared" si="24"/>
        <v>4311204</v>
      </c>
      <c r="H388" s="12">
        <f t="shared" si="25"/>
        <v>2.8476585631138143</v>
      </c>
      <c r="I388" s="12">
        <f t="shared" si="26"/>
        <v>70.02546634340797</v>
      </c>
      <c r="J388">
        <f t="shared" si="27"/>
        <v>21517</v>
      </c>
      <c r="M388" s="5" t="s">
        <v>61</v>
      </c>
      <c r="N388" s="7">
        <v>4311204</v>
      </c>
    </row>
    <row r="389" spans="1:14" x14ac:dyDescent="0.3">
      <c r="A389" s="5" t="s">
        <v>61</v>
      </c>
      <c r="B389" s="6" t="s">
        <v>12</v>
      </c>
      <c r="C389" s="6">
        <v>15901662</v>
      </c>
      <c r="D389" s="6">
        <v>168331</v>
      </c>
      <c r="E389" s="6">
        <v>14179355</v>
      </c>
      <c r="F389" s="6"/>
      <c r="G389" s="7">
        <f t="shared" si="24"/>
        <v>1553976</v>
      </c>
      <c r="H389" s="12">
        <f t="shared" si="25"/>
        <v>1.0585748835561968</v>
      </c>
      <c r="I389" s="12">
        <f t="shared" si="26"/>
        <v>89.169012647860342</v>
      </c>
      <c r="J389">
        <f t="shared" si="27"/>
        <v>8921</v>
      </c>
      <c r="M389" s="5" t="s">
        <v>61</v>
      </c>
      <c r="N389" s="7">
        <v>1553976</v>
      </c>
    </row>
    <row r="390" spans="1:14" x14ac:dyDescent="0.3">
      <c r="A390" s="5" t="s">
        <v>61</v>
      </c>
      <c r="B390" s="6" t="s">
        <v>12</v>
      </c>
      <c r="C390" s="6">
        <v>15948711</v>
      </c>
      <c r="D390" s="6">
        <v>263957</v>
      </c>
      <c r="E390" s="6">
        <v>13385077</v>
      </c>
      <c r="F390" s="6"/>
      <c r="G390" s="7">
        <f t="shared" si="24"/>
        <v>2299677</v>
      </c>
      <c r="H390" s="12">
        <f t="shared" si="25"/>
        <v>1.6550365731750987</v>
      </c>
      <c r="I390" s="12">
        <f t="shared" si="26"/>
        <v>83.925760520709176</v>
      </c>
      <c r="J390">
        <f t="shared" si="27"/>
        <v>47049</v>
      </c>
      <c r="M390" s="5" t="s">
        <v>61</v>
      </c>
      <c r="N390" s="7">
        <v>2299677</v>
      </c>
    </row>
    <row r="391" spans="1:14" x14ac:dyDescent="0.3">
      <c r="A391" s="5" t="s">
        <v>61</v>
      </c>
      <c r="B391" s="6" t="s">
        <v>12</v>
      </c>
      <c r="C391" s="6">
        <v>15963081</v>
      </c>
      <c r="D391" s="6">
        <v>424443</v>
      </c>
      <c r="E391" s="6">
        <v>14145624</v>
      </c>
      <c r="F391" s="6"/>
      <c r="G391" s="7">
        <f t="shared" si="24"/>
        <v>1393014</v>
      </c>
      <c r="H391" s="12">
        <f t="shared" si="25"/>
        <v>2.6589040048095978</v>
      </c>
      <c r="I391" s="12">
        <f t="shared" si="26"/>
        <v>88.614622703474339</v>
      </c>
      <c r="J391">
        <f t="shared" si="27"/>
        <v>14370</v>
      </c>
      <c r="M391" s="5" t="s">
        <v>61</v>
      </c>
      <c r="N391" s="7">
        <v>1393014</v>
      </c>
    </row>
    <row r="392" spans="1:14" x14ac:dyDescent="0.3">
      <c r="A392" s="5" t="s">
        <v>61</v>
      </c>
      <c r="B392" s="6" t="s">
        <v>12</v>
      </c>
      <c r="C392" s="6">
        <v>15971650</v>
      </c>
      <c r="D392" s="6">
        <v>362972</v>
      </c>
      <c r="E392" s="6">
        <v>13814254</v>
      </c>
      <c r="F392" s="6"/>
      <c r="G392" s="7">
        <f t="shared" si="24"/>
        <v>1794424</v>
      </c>
      <c r="H392" s="12">
        <f t="shared" si="25"/>
        <v>2.2726017662545823</v>
      </c>
      <c r="I392" s="12">
        <f t="shared" si="26"/>
        <v>86.492341116916535</v>
      </c>
      <c r="J392">
        <f t="shared" si="27"/>
        <v>8569</v>
      </c>
      <c r="M392" s="5" t="s">
        <v>61</v>
      </c>
      <c r="N392" s="7">
        <v>1794424</v>
      </c>
    </row>
    <row r="393" spans="1:14" x14ac:dyDescent="0.3">
      <c r="A393" s="5" t="s">
        <v>61</v>
      </c>
      <c r="B393" s="6" t="s">
        <v>12</v>
      </c>
      <c r="C393" s="6">
        <v>15979516</v>
      </c>
      <c r="D393" s="6">
        <v>178481</v>
      </c>
      <c r="E393" s="6">
        <v>11703871</v>
      </c>
      <c r="F393" s="6"/>
      <c r="G393" s="7">
        <f t="shared" si="24"/>
        <v>4097164</v>
      </c>
      <c r="H393" s="12">
        <f t="shared" si="25"/>
        <v>1.116936207579754</v>
      </c>
      <c r="I393" s="12">
        <f t="shared" si="26"/>
        <v>73.242963053449188</v>
      </c>
      <c r="J393">
        <f t="shared" si="27"/>
        <v>7866</v>
      </c>
      <c r="M393" s="5" t="s">
        <v>61</v>
      </c>
      <c r="N393" s="7">
        <v>4097164</v>
      </c>
    </row>
    <row r="394" spans="1:14" x14ac:dyDescent="0.3">
      <c r="A394" s="5" t="s">
        <v>62</v>
      </c>
      <c r="B394" s="6" t="s">
        <v>12</v>
      </c>
      <c r="C394" s="6">
        <v>16013205</v>
      </c>
      <c r="D394" s="6">
        <v>340196</v>
      </c>
      <c r="E394" s="6">
        <v>11387461</v>
      </c>
      <c r="F394" s="6"/>
      <c r="G394" s="7">
        <f t="shared" si="24"/>
        <v>4285548</v>
      </c>
      <c r="H394" s="12">
        <f t="shared" si="25"/>
        <v>2.1244716469938405</v>
      </c>
      <c r="I394" s="12">
        <f t="shared" si="26"/>
        <v>71.112940851003899</v>
      </c>
      <c r="J394">
        <f t="shared" si="27"/>
        <v>33689</v>
      </c>
      <c r="M394" s="5" t="s">
        <v>62</v>
      </c>
      <c r="N394" s="7">
        <v>4285548</v>
      </c>
    </row>
    <row r="395" spans="1:14" x14ac:dyDescent="0.3">
      <c r="A395" s="5" t="s">
        <v>62</v>
      </c>
      <c r="B395" s="6" t="s">
        <v>12</v>
      </c>
      <c r="C395" s="6">
        <v>16055459</v>
      </c>
      <c r="D395" s="6">
        <v>301087</v>
      </c>
      <c r="E395" s="6">
        <v>13650616</v>
      </c>
      <c r="F395" s="6"/>
      <c r="G395" s="7">
        <f t="shared" si="24"/>
        <v>2103756</v>
      </c>
      <c r="H395" s="12">
        <f t="shared" si="25"/>
        <v>1.8752936306585817</v>
      </c>
      <c r="I395" s="12">
        <f t="shared" si="26"/>
        <v>85.021649022927335</v>
      </c>
      <c r="J395">
        <f t="shared" si="27"/>
        <v>42254</v>
      </c>
      <c r="M395" s="5" t="s">
        <v>62</v>
      </c>
      <c r="N395" s="7">
        <v>2103756</v>
      </c>
    </row>
    <row r="396" spans="1:14" x14ac:dyDescent="0.3">
      <c r="A396" s="5" t="s">
        <v>62</v>
      </c>
      <c r="B396" s="6" t="s">
        <v>12</v>
      </c>
      <c r="C396" s="6">
        <v>16098273</v>
      </c>
      <c r="D396" s="6">
        <v>182384</v>
      </c>
      <c r="E396" s="6">
        <v>12046030</v>
      </c>
      <c r="F396" s="6"/>
      <c r="G396" s="7">
        <f t="shared" si="24"/>
        <v>3869859</v>
      </c>
      <c r="H396" s="12">
        <f t="shared" si="25"/>
        <v>1.1329414030933629</v>
      </c>
      <c r="I396" s="12">
        <f t="shared" si="26"/>
        <v>74.828088702434101</v>
      </c>
      <c r="J396">
        <f t="shared" si="27"/>
        <v>42814</v>
      </c>
      <c r="M396" s="5" t="s">
        <v>62</v>
      </c>
      <c r="N396" s="7">
        <v>3869859</v>
      </c>
    </row>
    <row r="397" spans="1:14" x14ac:dyDescent="0.3">
      <c r="A397" s="5" t="s">
        <v>62</v>
      </c>
      <c r="B397" s="6" t="s">
        <v>12</v>
      </c>
      <c r="C397" s="6">
        <v>16114345</v>
      </c>
      <c r="D397" s="6">
        <v>432669</v>
      </c>
      <c r="E397" s="6">
        <v>11718672</v>
      </c>
      <c r="F397" s="6"/>
      <c r="G397" s="7">
        <f t="shared" si="24"/>
        <v>3963004</v>
      </c>
      <c r="H397" s="12">
        <f t="shared" si="25"/>
        <v>2.6849927812765584</v>
      </c>
      <c r="I397" s="12">
        <f t="shared" si="26"/>
        <v>72.721987769282578</v>
      </c>
      <c r="J397">
        <f t="shared" si="27"/>
        <v>16072</v>
      </c>
      <c r="M397" s="5" t="s">
        <v>62</v>
      </c>
      <c r="N397" s="7">
        <v>3963004</v>
      </c>
    </row>
    <row r="398" spans="1:14" x14ac:dyDescent="0.3">
      <c r="A398" s="5" t="s">
        <v>62</v>
      </c>
      <c r="B398" s="6" t="s">
        <v>12</v>
      </c>
      <c r="C398" s="6">
        <v>16144704</v>
      </c>
      <c r="D398" s="6">
        <v>327564</v>
      </c>
      <c r="E398" s="6">
        <v>14025512</v>
      </c>
      <c r="F398" s="6"/>
      <c r="G398" s="7">
        <f t="shared" si="24"/>
        <v>1791628</v>
      </c>
      <c r="H398" s="12">
        <f t="shared" si="25"/>
        <v>2.0289253986942093</v>
      </c>
      <c r="I398" s="12">
        <f t="shared" si="26"/>
        <v>86.873763681266624</v>
      </c>
      <c r="J398">
        <f t="shared" si="27"/>
        <v>30359</v>
      </c>
      <c r="M398" s="5" t="s">
        <v>62</v>
      </c>
      <c r="N398" s="7">
        <v>1791628</v>
      </c>
    </row>
    <row r="399" spans="1:14" x14ac:dyDescent="0.3">
      <c r="A399" s="5" t="s">
        <v>62</v>
      </c>
      <c r="B399" s="6" t="s">
        <v>12</v>
      </c>
      <c r="C399" s="6">
        <v>16173502</v>
      </c>
      <c r="D399" s="6">
        <v>269250</v>
      </c>
      <c r="E399" s="6">
        <v>12452895</v>
      </c>
      <c r="F399" s="6"/>
      <c r="G399" s="7">
        <f t="shared" si="24"/>
        <v>3451357</v>
      </c>
      <c r="H399" s="12">
        <f t="shared" si="25"/>
        <v>1.664760050111596</v>
      </c>
      <c r="I399" s="12">
        <f t="shared" si="26"/>
        <v>76.99566241126999</v>
      </c>
      <c r="J399">
        <f t="shared" si="27"/>
        <v>28798</v>
      </c>
      <c r="M399" s="5" t="s">
        <v>62</v>
      </c>
      <c r="N399" s="7">
        <v>3451357</v>
      </c>
    </row>
    <row r="400" spans="1:14" x14ac:dyDescent="0.3">
      <c r="A400" s="5" t="s">
        <v>62</v>
      </c>
      <c r="B400" s="6" t="s">
        <v>12</v>
      </c>
      <c r="C400" s="6">
        <v>16214868</v>
      </c>
      <c r="D400" s="6">
        <v>268316</v>
      </c>
      <c r="E400" s="6">
        <v>12419962</v>
      </c>
      <c r="F400" s="6"/>
      <c r="G400" s="7">
        <f t="shared" si="24"/>
        <v>3526590</v>
      </c>
      <c r="H400" s="12">
        <f t="shared" si="25"/>
        <v>1.6547529094902282</v>
      </c>
      <c r="I400" s="12">
        <f t="shared" si="26"/>
        <v>76.596133869236553</v>
      </c>
      <c r="J400">
        <f t="shared" si="27"/>
        <v>41366</v>
      </c>
      <c r="M400" s="5" t="s">
        <v>62</v>
      </c>
      <c r="N400" s="7">
        <v>3526590</v>
      </c>
    </row>
    <row r="401" spans="1:14" x14ac:dyDescent="0.3">
      <c r="A401" s="5" t="s">
        <v>62</v>
      </c>
      <c r="B401" s="6" t="s">
        <v>12</v>
      </c>
      <c r="C401" s="6">
        <v>16245903</v>
      </c>
      <c r="D401" s="6">
        <v>487048</v>
      </c>
      <c r="E401" s="6">
        <v>12068934</v>
      </c>
      <c r="F401" s="6"/>
      <c r="G401" s="7">
        <f t="shared" si="24"/>
        <v>3689921</v>
      </c>
      <c r="H401" s="12">
        <f t="shared" si="25"/>
        <v>2.9979743200485687</v>
      </c>
      <c r="I401" s="12">
        <f t="shared" si="26"/>
        <v>74.289093071650129</v>
      </c>
      <c r="J401">
        <f t="shared" si="27"/>
        <v>31035</v>
      </c>
      <c r="M401" s="5" t="s">
        <v>62</v>
      </c>
      <c r="N401" s="7">
        <v>3689921</v>
      </c>
    </row>
    <row r="402" spans="1:14" x14ac:dyDescent="0.3">
      <c r="A402" s="5" t="s">
        <v>63</v>
      </c>
      <c r="B402" s="6" t="s">
        <v>12</v>
      </c>
      <c r="C402" s="6">
        <v>16276858</v>
      </c>
      <c r="D402" s="6">
        <v>212403</v>
      </c>
      <c r="E402" s="6">
        <v>12184777</v>
      </c>
      <c r="F402" s="6"/>
      <c r="G402" s="7">
        <f t="shared" si="24"/>
        <v>3879678</v>
      </c>
      <c r="H402" s="12">
        <f t="shared" si="25"/>
        <v>1.3049385821268455</v>
      </c>
      <c r="I402" s="12">
        <f t="shared" si="26"/>
        <v>74.859515270084671</v>
      </c>
      <c r="J402">
        <f t="shared" si="27"/>
        <v>30955</v>
      </c>
      <c r="M402" s="5" t="s">
        <v>63</v>
      </c>
      <c r="N402" s="7">
        <v>3879678</v>
      </c>
    </row>
    <row r="403" spans="1:14" x14ac:dyDescent="0.3">
      <c r="A403" s="5" t="s">
        <v>63</v>
      </c>
      <c r="B403" s="6" t="s">
        <v>12</v>
      </c>
      <c r="C403" s="6">
        <v>16316630</v>
      </c>
      <c r="D403" s="6">
        <v>197924</v>
      </c>
      <c r="E403" s="6">
        <v>11912520</v>
      </c>
      <c r="F403" s="6"/>
      <c r="G403" s="7">
        <f t="shared" si="24"/>
        <v>4206186</v>
      </c>
      <c r="H403" s="12">
        <f t="shared" si="25"/>
        <v>1.2130200905456581</v>
      </c>
      <c r="I403" s="12">
        <f t="shared" si="26"/>
        <v>73.008458241683485</v>
      </c>
      <c r="J403">
        <f t="shared" si="27"/>
        <v>39772</v>
      </c>
      <c r="M403" s="5" t="s">
        <v>63</v>
      </c>
      <c r="N403" s="7">
        <v>4206186</v>
      </c>
    </row>
    <row r="404" spans="1:14" x14ac:dyDescent="0.3">
      <c r="A404" s="5" t="s">
        <v>63</v>
      </c>
      <c r="B404" s="6" t="s">
        <v>12</v>
      </c>
      <c r="C404" s="6">
        <v>16319511</v>
      </c>
      <c r="D404" s="6">
        <v>330439</v>
      </c>
      <c r="E404" s="6">
        <v>13338044</v>
      </c>
      <c r="F404" s="6"/>
      <c r="G404" s="7">
        <f t="shared" si="24"/>
        <v>2651028</v>
      </c>
      <c r="H404" s="12">
        <f t="shared" si="25"/>
        <v>2.0248094443516109</v>
      </c>
      <c r="I404" s="12">
        <f t="shared" si="26"/>
        <v>81.730659699301029</v>
      </c>
      <c r="J404">
        <f t="shared" si="27"/>
        <v>2881</v>
      </c>
      <c r="M404" s="5" t="s">
        <v>63</v>
      </c>
      <c r="N404" s="7">
        <v>2651028</v>
      </c>
    </row>
    <row r="405" spans="1:14" x14ac:dyDescent="0.3">
      <c r="A405" s="5" t="s">
        <v>63</v>
      </c>
      <c r="B405" s="6" t="s">
        <v>12</v>
      </c>
      <c r="C405" s="6">
        <v>16340558</v>
      </c>
      <c r="D405" s="6">
        <v>271381</v>
      </c>
      <c r="E405" s="6">
        <v>13340372</v>
      </c>
      <c r="F405" s="6"/>
      <c r="G405" s="7">
        <f t="shared" si="24"/>
        <v>2728805</v>
      </c>
      <c r="H405" s="12">
        <f t="shared" si="25"/>
        <v>1.660781718714869</v>
      </c>
      <c r="I405" s="12">
        <f t="shared" si="26"/>
        <v>81.639635562016906</v>
      </c>
      <c r="J405">
        <f t="shared" si="27"/>
        <v>21047</v>
      </c>
      <c r="M405" s="5" t="s">
        <v>63</v>
      </c>
      <c r="N405" s="7">
        <v>2728805</v>
      </c>
    </row>
    <row r="406" spans="1:14" x14ac:dyDescent="0.3">
      <c r="A406" s="5" t="s">
        <v>63</v>
      </c>
      <c r="B406" s="6" t="s">
        <v>12</v>
      </c>
      <c r="C406" s="6">
        <v>16361203</v>
      </c>
      <c r="D406" s="6">
        <v>189269</v>
      </c>
      <c r="E406" s="6">
        <v>12298536</v>
      </c>
      <c r="F406" s="6"/>
      <c r="G406" s="7">
        <f t="shared" si="24"/>
        <v>3873398</v>
      </c>
      <c r="H406" s="12">
        <f t="shared" si="25"/>
        <v>1.1568159138420324</v>
      </c>
      <c r="I406" s="12">
        <f t="shared" si="26"/>
        <v>75.168898032742462</v>
      </c>
      <c r="J406">
        <f t="shared" si="27"/>
        <v>20645</v>
      </c>
      <c r="M406" s="5" t="s">
        <v>63</v>
      </c>
      <c r="N406" s="7">
        <v>3873398</v>
      </c>
    </row>
    <row r="407" spans="1:14" x14ac:dyDescent="0.3">
      <c r="A407" s="5" t="s">
        <v>63</v>
      </c>
      <c r="B407" s="6" t="s">
        <v>12</v>
      </c>
      <c r="C407" s="6">
        <v>16385622</v>
      </c>
      <c r="D407" s="6">
        <v>282945</v>
      </c>
      <c r="E407" s="6">
        <v>12325262</v>
      </c>
      <c r="F407" s="6"/>
      <c r="G407" s="7">
        <f t="shared" si="24"/>
        <v>3777415</v>
      </c>
      <c r="H407" s="12">
        <f t="shared" si="25"/>
        <v>1.7267882781624035</v>
      </c>
      <c r="I407" s="12">
        <f t="shared" si="26"/>
        <v>75.219982494408825</v>
      </c>
      <c r="J407">
        <f t="shared" si="27"/>
        <v>24419</v>
      </c>
      <c r="M407" s="5" t="s">
        <v>63</v>
      </c>
      <c r="N407" s="7">
        <v>3777415</v>
      </c>
    </row>
    <row r="408" spans="1:14" x14ac:dyDescent="0.3">
      <c r="A408" s="5" t="s">
        <v>63</v>
      </c>
      <c r="B408" s="6" t="s">
        <v>12</v>
      </c>
      <c r="C408" s="6">
        <v>16407409</v>
      </c>
      <c r="D408" s="6">
        <v>466559</v>
      </c>
      <c r="E408" s="6">
        <v>13165049</v>
      </c>
      <c r="F408" s="6"/>
      <c r="G408" s="7">
        <f t="shared" si="24"/>
        <v>2775801</v>
      </c>
      <c r="H408" s="12">
        <f t="shared" si="25"/>
        <v>2.8435873086359948</v>
      </c>
      <c r="I408" s="12">
        <f t="shared" si="26"/>
        <v>80.238439841415541</v>
      </c>
      <c r="J408">
        <f t="shared" si="27"/>
        <v>21787</v>
      </c>
      <c r="M408" s="5" t="s">
        <v>63</v>
      </c>
      <c r="N408" s="7">
        <v>2775801</v>
      </c>
    </row>
    <row r="409" spans="1:14" x14ac:dyDescent="0.3">
      <c r="A409" s="5" t="s">
        <v>63</v>
      </c>
      <c r="B409" s="6" t="s">
        <v>12</v>
      </c>
      <c r="C409" s="6">
        <v>16412533</v>
      </c>
      <c r="D409" s="6">
        <v>191609</v>
      </c>
      <c r="E409" s="6">
        <v>12202009</v>
      </c>
      <c r="F409" s="6"/>
      <c r="G409" s="7">
        <f t="shared" si="24"/>
        <v>4018915</v>
      </c>
      <c r="H409" s="12">
        <f t="shared" si="25"/>
        <v>1.1674553830295422</v>
      </c>
      <c r="I409" s="12">
        <f t="shared" si="26"/>
        <v>74.345678391019845</v>
      </c>
      <c r="J409">
        <f t="shared" si="27"/>
        <v>5124</v>
      </c>
      <c r="M409" s="5" t="s">
        <v>63</v>
      </c>
      <c r="N409" s="7">
        <v>4018915</v>
      </c>
    </row>
    <row r="410" spans="1:14" x14ac:dyDescent="0.3">
      <c r="A410" s="5" t="s">
        <v>64</v>
      </c>
      <c r="B410" s="6" t="s">
        <v>12</v>
      </c>
      <c r="C410" s="6">
        <v>16417073</v>
      </c>
      <c r="D410" s="6">
        <v>430915</v>
      </c>
      <c r="E410" s="6">
        <v>13559887</v>
      </c>
      <c r="F410" s="6"/>
      <c r="G410" s="7">
        <f t="shared" si="24"/>
        <v>2426271</v>
      </c>
      <c r="H410" s="12">
        <f t="shared" si="25"/>
        <v>2.6247979770815419</v>
      </c>
      <c r="I410" s="12">
        <f t="shared" si="26"/>
        <v>82.596252084643822</v>
      </c>
      <c r="J410">
        <f t="shared" si="27"/>
        <v>4540</v>
      </c>
      <c r="M410" s="5" t="s">
        <v>64</v>
      </c>
      <c r="N410" s="7">
        <v>2426271</v>
      </c>
    </row>
    <row r="411" spans="1:14" x14ac:dyDescent="0.3">
      <c r="A411" s="5" t="s">
        <v>64</v>
      </c>
      <c r="B411" s="6" t="s">
        <v>12</v>
      </c>
      <c r="C411" s="6">
        <v>16450373</v>
      </c>
      <c r="D411" s="6">
        <v>363490</v>
      </c>
      <c r="E411" s="6">
        <v>12980796</v>
      </c>
      <c r="F411" s="6"/>
      <c r="G411" s="7">
        <f t="shared" si="24"/>
        <v>3106087</v>
      </c>
      <c r="H411" s="12">
        <f t="shared" si="25"/>
        <v>2.2096155509665345</v>
      </c>
      <c r="I411" s="12">
        <f t="shared" si="26"/>
        <v>78.908824742150216</v>
      </c>
      <c r="J411">
        <f t="shared" si="27"/>
        <v>33300</v>
      </c>
      <c r="M411" s="5" t="s">
        <v>64</v>
      </c>
      <c r="N411" s="7">
        <v>3106087</v>
      </c>
    </row>
    <row r="412" spans="1:14" x14ac:dyDescent="0.3">
      <c r="A412" s="5" t="s">
        <v>64</v>
      </c>
      <c r="B412" s="6" t="s">
        <v>12</v>
      </c>
      <c r="C412" s="6">
        <v>16483550</v>
      </c>
      <c r="D412" s="6">
        <v>241958</v>
      </c>
      <c r="E412" s="6">
        <v>14260728</v>
      </c>
      <c r="F412" s="6"/>
      <c r="G412" s="7">
        <f t="shared" si="24"/>
        <v>1980864</v>
      </c>
      <c r="H412" s="12">
        <f t="shared" si="25"/>
        <v>1.467875548653051</v>
      </c>
      <c r="I412" s="12">
        <f t="shared" si="26"/>
        <v>86.514907286355182</v>
      </c>
      <c r="J412">
        <f t="shared" si="27"/>
        <v>33177</v>
      </c>
      <c r="M412" s="5" t="s">
        <v>64</v>
      </c>
      <c r="N412" s="7">
        <v>1980864</v>
      </c>
    </row>
    <row r="413" spans="1:14" x14ac:dyDescent="0.3">
      <c r="A413" s="5" t="s">
        <v>64</v>
      </c>
      <c r="B413" s="6" t="s">
        <v>12</v>
      </c>
      <c r="C413" s="6">
        <v>16529807</v>
      </c>
      <c r="D413" s="6">
        <v>489969</v>
      </c>
      <c r="E413" s="6">
        <v>11978451</v>
      </c>
      <c r="F413" s="6"/>
      <c r="G413" s="7">
        <f t="shared" si="24"/>
        <v>4061387</v>
      </c>
      <c r="H413" s="12">
        <f t="shared" si="25"/>
        <v>2.9641543909133361</v>
      </c>
      <c r="I413" s="12">
        <f t="shared" si="26"/>
        <v>72.465764421810846</v>
      </c>
      <c r="J413">
        <f t="shared" si="27"/>
        <v>46257</v>
      </c>
      <c r="M413" s="5" t="s">
        <v>64</v>
      </c>
      <c r="N413" s="7">
        <v>4061387</v>
      </c>
    </row>
    <row r="414" spans="1:14" x14ac:dyDescent="0.3">
      <c r="A414" s="5" t="s">
        <v>64</v>
      </c>
      <c r="B414" s="6" t="s">
        <v>12</v>
      </c>
      <c r="C414" s="6">
        <v>16556305</v>
      </c>
      <c r="D414" s="6">
        <v>447463</v>
      </c>
      <c r="E414" s="6">
        <v>13631373</v>
      </c>
      <c r="F414" s="6"/>
      <c r="G414" s="7">
        <f t="shared" si="24"/>
        <v>2477469</v>
      </c>
      <c r="H414" s="12">
        <f t="shared" si="25"/>
        <v>2.7026742984017265</v>
      </c>
      <c r="I414" s="12">
        <f t="shared" si="26"/>
        <v>82.333425241924445</v>
      </c>
      <c r="J414">
        <f t="shared" si="27"/>
        <v>26498</v>
      </c>
      <c r="M414" s="5" t="s">
        <v>64</v>
      </c>
      <c r="N414" s="7">
        <v>2477469</v>
      </c>
    </row>
    <row r="415" spans="1:14" x14ac:dyDescent="0.3">
      <c r="A415" s="5" t="s">
        <v>64</v>
      </c>
      <c r="B415" s="6" t="s">
        <v>12</v>
      </c>
      <c r="C415" s="6">
        <v>16568305</v>
      </c>
      <c r="D415" s="6">
        <v>334362</v>
      </c>
      <c r="E415" s="6">
        <v>11872503</v>
      </c>
      <c r="F415" s="6"/>
      <c r="G415" s="7">
        <f t="shared" si="24"/>
        <v>4361440</v>
      </c>
      <c r="H415" s="12">
        <f t="shared" si="25"/>
        <v>2.0180821152193902</v>
      </c>
      <c r="I415" s="12">
        <f t="shared" si="26"/>
        <v>71.657921555644961</v>
      </c>
      <c r="J415">
        <f t="shared" si="27"/>
        <v>12000</v>
      </c>
      <c r="M415" s="5" t="s">
        <v>64</v>
      </c>
      <c r="N415" s="7">
        <v>4361440</v>
      </c>
    </row>
    <row r="416" spans="1:14" x14ac:dyDescent="0.3">
      <c r="A416" s="5" t="s">
        <v>64</v>
      </c>
      <c r="B416" s="6" t="s">
        <v>12</v>
      </c>
      <c r="C416" s="6">
        <v>16580046</v>
      </c>
      <c r="D416" s="6">
        <v>471647</v>
      </c>
      <c r="E416" s="6">
        <v>12578083</v>
      </c>
      <c r="F416" s="6"/>
      <c r="G416" s="7">
        <f t="shared" si="24"/>
        <v>3530316</v>
      </c>
      <c r="H416" s="12">
        <f t="shared" si="25"/>
        <v>2.8446664140738811</v>
      </c>
      <c r="I416" s="12">
        <f t="shared" si="26"/>
        <v>75.862775048995644</v>
      </c>
      <c r="J416">
        <f t="shared" si="27"/>
        <v>11741</v>
      </c>
      <c r="M416" s="5" t="s">
        <v>64</v>
      </c>
      <c r="N416" s="7">
        <v>3530316</v>
      </c>
    </row>
    <row r="417" spans="1:14" x14ac:dyDescent="0.3">
      <c r="A417" s="5" t="s">
        <v>64</v>
      </c>
      <c r="B417" s="6" t="s">
        <v>12</v>
      </c>
      <c r="C417" s="6">
        <v>16621065</v>
      </c>
      <c r="D417" s="6">
        <v>221381</v>
      </c>
      <c r="E417" s="6">
        <v>12395870</v>
      </c>
      <c r="F417" s="6"/>
      <c r="G417" s="7">
        <f t="shared" si="24"/>
        <v>4003814</v>
      </c>
      <c r="H417" s="12">
        <f t="shared" si="25"/>
        <v>1.3319302944787232</v>
      </c>
      <c r="I417" s="12">
        <f t="shared" si="26"/>
        <v>74.579276358043245</v>
      </c>
      <c r="J417">
        <f t="shared" si="27"/>
        <v>41019</v>
      </c>
      <c r="M417" s="5" t="s">
        <v>64</v>
      </c>
      <c r="N417" s="7">
        <v>4003814</v>
      </c>
    </row>
    <row r="418" spans="1:14" x14ac:dyDescent="0.3">
      <c r="A418" s="5" t="s">
        <v>65</v>
      </c>
      <c r="B418" s="6" t="s">
        <v>12</v>
      </c>
      <c r="C418" s="6">
        <v>16634567</v>
      </c>
      <c r="D418" s="6">
        <v>479615</v>
      </c>
      <c r="E418" s="6">
        <v>14763964</v>
      </c>
      <c r="F418" s="6"/>
      <c r="G418" s="7">
        <f t="shared" si="24"/>
        <v>1390988</v>
      </c>
      <c r="H418" s="12">
        <f t="shared" si="25"/>
        <v>2.883243068485041</v>
      </c>
      <c r="I418" s="12">
        <f t="shared" si="26"/>
        <v>88.754723822988595</v>
      </c>
      <c r="J418">
        <f t="shared" si="27"/>
        <v>13502</v>
      </c>
      <c r="M418" s="5" t="s">
        <v>65</v>
      </c>
      <c r="N418" s="7">
        <v>1390988</v>
      </c>
    </row>
    <row r="419" spans="1:14" x14ac:dyDescent="0.3">
      <c r="A419" s="5" t="s">
        <v>65</v>
      </c>
      <c r="B419" s="6" t="s">
        <v>12</v>
      </c>
      <c r="C419" s="6">
        <v>16655236</v>
      </c>
      <c r="D419" s="6">
        <v>442617</v>
      </c>
      <c r="E419" s="6">
        <v>12035084</v>
      </c>
      <c r="F419" s="6"/>
      <c r="G419" s="7">
        <f t="shared" si="24"/>
        <v>4177535</v>
      </c>
      <c r="H419" s="12">
        <f t="shared" si="25"/>
        <v>2.6575246366968321</v>
      </c>
      <c r="I419" s="12">
        <f t="shared" si="26"/>
        <v>72.26006284149922</v>
      </c>
      <c r="J419">
        <f t="shared" si="27"/>
        <v>20669</v>
      </c>
      <c r="M419" s="5" t="s">
        <v>65</v>
      </c>
      <c r="N419" s="7">
        <v>4177535</v>
      </c>
    </row>
    <row r="420" spans="1:14" x14ac:dyDescent="0.3">
      <c r="A420" s="5" t="s">
        <v>65</v>
      </c>
      <c r="B420" s="6" t="s">
        <v>12</v>
      </c>
      <c r="C420" s="6">
        <v>16687637</v>
      </c>
      <c r="D420" s="6">
        <v>289188</v>
      </c>
      <c r="E420" s="6">
        <v>12707654</v>
      </c>
      <c r="F420" s="6"/>
      <c r="G420" s="7">
        <f t="shared" si="24"/>
        <v>3690795</v>
      </c>
      <c r="H420" s="12">
        <f t="shared" si="25"/>
        <v>1.7329475707075843</v>
      </c>
      <c r="I420" s="12">
        <f t="shared" si="26"/>
        <v>76.150110408082341</v>
      </c>
      <c r="J420">
        <f t="shared" si="27"/>
        <v>32401</v>
      </c>
      <c r="M420" s="5" t="s">
        <v>65</v>
      </c>
      <c r="N420" s="7">
        <v>3690795</v>
      </c>
    </row>
    <row r="421" spans="1:14" x14ac:dyDescent="0.3">
      <c r="A421" s="5" t="s">
        <v>65</v>
      </c>
      <c r="B421" s="6" t="s">
        <v>12</v>
      </c>
      <c r="C421" s="6">
        <v>16710400</v>
      </c>
      <c r="D421" s="6">
        <v>419602</v>
      </c>
      <c r="E421" s="6">
        <v>12082944</v>
      </c>
      <c r="F421" s="6"/>
      <c r="G421" s="7">
        <f t="shared" si="24"/>
        <v>4207854</v>
      </c>
      <c r="H421" s="12">
        <f t="shared" si="25"/>
        <v>2.5110230754500193</v>
      </c>
      <c r="I421" s="12">
        <f t="shared" si="26"/>
        <v>72.307927996936044</v>
      </c>
      <c r="J421">
        <f t="shared" si="27"/>
        <v>22763</v>
      </c>
      <c r="M421" s="5" t="s">
        <v>65</v>
      </c>
      <c r="N421" s="7">
        <v>4207854</v>
      </c>
    </row>
    <row r="422" spans="1:14" x14ac:dyDescent="0.3">
      <c r="A422" s="5" t="s">
        <v>65</v>
      </c>
      <c r="B422" s="6" t="s">
        <v>12</v>
      </c>
      <c r="C422" s="6">
        <v>16744650</v>
      </c>
      <c r="D422" s="6">
        <v>298751</v>
      </c>
      <c r="E422" s="6">
        <v>14193269</v>
      </c>
      <c r="F422" s="6"/>
      <c r="G422" s="7">
        <f t="shared" si="24"/>
        <v>2252630</v>
      </c>
      <c r="H422" s="12">
        <f t="shared" si="25"/>
        <v>1.7841579250686042</v>
      </c>
      <c r="I422" s="12">
        <f t="shared" si="26"/>
        <v>84.763007886100937</v>
      </c>
      <c r="J422">
        <f t="shared" si="27"/>
        <v>34250</v>
      </c>
      <c r="M422" s="5" t="s">
        <v>65</v>
      </c>
      <c r="N422" s="7">
        <v>2252630</v>
      </c>
    </row>
    <row r="423" spans="1:14" x14ac:dyDescent="0.3">
      <c r="A423" s="5" t="s">
        <v>65</v>
      </c>
      <c r="B423" s="6" t="s">
        <v>12</v>
      </c>
      <c r="C423" s="6">
        <v>16783022</v>
      </c>
      <c r="D423" s="6">
        <v>399435</v>
      </c>
      <c r="E423" s="6">
        <v>13128910</v>
      </c>
      <c r="F423" s="6"/>
      <c r="G423" s="7">
        <f t="shared" si="24"/>
        <v>3254677</v>
      </c>
      <c r="H423" s="12">
        <f t="shared" si="25"/>
        <v>2.3799944968194642</v>
      </c>
      <c r="I423" s="12">
        <f t="shared" si="26"/>
        <v>78.227329976687159</v>
      </c>
      <c r="J423">
        <f t="shared" si="27"/>
        <v>38372</v>
      </c>
      <c r="M423" s="5" t="s">
        <v>65</v>
      </c>
      <c r="N423" s="7">
        <v>3254677</v>
      </c>
    </row>
    <row r="424" spans="1:14" x14ac:dyDescent="0.3">
      <c r="A424" s="5" t="s">
        <v>65</v>
      </c>
      <c r="B424" s="6" t="s">
        <v>12</v>
      </c>
      <c r="C424" s="6">
        <v>16799162</v>
      </c>
      <c r="D424" s="6">
        <v>378424</v>
      </c>
      <c r="E424" s="6">
        <v>11937242</v>
      </c>
      <c r="F424" s="6"/>
      <c r="G424" s="7">
        <f t="shared" si="24"/>
        <v>4483496</v>
      </c>
      <c r="H424" s="12">
        <f t="shared" si="25"/>
        <v>2.2526361731614948</v>
      </c>
      <c r="I424" s="12">
        <f t="shared" si="26"/>
        <v>71.058556373228626</v>
      </c>
      <c r="J424">
        <f t="shared" si="27"/>
        <v>16140</v>
      </c>
      <c r="M424" s="5" t="s">
        <v>65</v>
      </c>
      <c r="N424" s="7">
        <v>4483496</v>
      </c>
    </row>
    <row r="425" spans="1:14" x14ac:dyDescent="0.3">
      <c r="A425" s="5" t="s">
        <v>65</v>
      </c>
      <c r="B425" s="6" t="s">
        <v>12</v>
      </c>
      <c r="C425" s="6">
        <v>16843790</v>
      </c>
      <c r="D425" s="6">
        <v>478776</v>
      </c>
      <c r="E425" s="6">
        <v>14561762</v>
      </c>
      <c r="F425" s="6"/>
      <c r="G425" s="7">
        <f t="shared" si="24"/>
        <v>1803252</v>
      </c>
      <c r="H425" s="12">
        <f t="shared" si="25"/>
        <v>2.842448166356859</v>
      </c>
      <c r="I425" s="12">
        <f t="shared" si="26"/>
        <v>86.451813991981624</v>
      </c>
      <c r="J425">
        <f t="shared" si="27"/>
        <v>44628</v>
      </c>
      <c r="M425" s="5" t="s">
        <v>65</v>
      </c>
      <c r="N425" s="7">
        <v>1803252</v>
      </c>
    </row>
    <row r="426" spans="1:14" x14ac:dyDescent="0.3">
      <c r="A426" s="5" t="s">
        <v>66</v>
      </c>
      <c r="B426" s="6" t="s">
        <v>12</v>
      </c>
      <c r="C426" s="6">
        <v>16859708</v>
      </c>
      <c r="D426" s="6">
        <v>291862</v>
      </c>
      <c r="E426" s="6">
        <v>12902102</v>
      </c>
      <c r="F426" s="6"/>
      <c r="G426" s="7">
        <f t="shared" si="24"/>
        <v>3665744</v>
      </c>
      <c r="H426" s="12">
        <f t="shared" si="25"/>
        <v>1.7311213219113879</v>
      </c>
      <c r="I426" s="12">
        <f t="shared" si="26"/>
        <v>76.526248260052895</v>
      </c>
      <c r="J426">
        <f t="shared" si="27"/>
        <v>15918</v>
      </c>
      <c r="M426" s="5" t="s">
        <v>66</v>
      </c>
      <c r="N426" s="7">
        <v>3665744</v>
      </c>
    </row>
    <row r="427" spans="1:14" x14ac:dyDescent="0.3">
      <c r="A427" s="5" t="s">
        <v>66</v>
      </c>
      <c r="B427" s="6" t="s">
        <v>12</v>
      </c>
      <c r="C427" s="6">
        <v>16869652</v>
      </c>
      <c r="D427" s="6">
        <v>229916</v>
      </c>
      <c r="E427" s="6">
        <v>14379160</v>
      </c>
      <c r="F427" s="6"/>
      <c r="G427" s="7">
        <f t="shared" si="24"/>
        <v>2260576</v>
      </c>
      <c r="H427" s="12">
        <f t="shared" si="25"/>
        <v>1.3628971125189779</v>
      </c>
      <c r="I427" s="12">
        <f t="shared" si="26"/>
        <v>85.236850173317151</v>
      </c>
      <c r="J427">
        <f t="shared" si="27"/>
        <v>9944</v>
      </c>
      <c r="M427" s="5" t="s">
        <v>66</v>
      </c>
      <c r="N427" s="7">
        <v>2260576</v>
      </c>
    </row>
    <row r="428" spans="1:14" x14ac:dyDescent="0.3">
      <c r="A428" s="5" t="s">
        <v>66</v>
      </c>
      <c r="B428" s="6" t="s">
        <v>12</v>
      </c>
      <c r="C428" s="6">
        <v>16889635</v>
      </c>
      <c r="D428" s="6">
        <v>296184</v>
      </c>
      <c r="E428" s="6">
        <v>13667664</v>
      </c>
      <c r="F428" s="6"/>
      <c r="G428" s="7">
        <f t="shared" si="24"/>
        <v>2925787</v>
      </c>
      <c r="H428" s="12">
        <f t="shared" si="25"/>
        <v>1.7536435808115449</v>
      </c>
      <c r="I428" s="12">
        <f t="shared" si="26"/>
        <v>80.923382891341348</v>
      </c>
      <c r="J428">
        <f t="shared" si="27"/>
        <v>19983</v>
      </c>
      <c r="M428" s="5" t="s">
        <v>66</v>
      </c>
      <c r="N428" s="7">
        <v>2925787</v>
      </c>
    </row>
    <row r="429" spans="1:14" x14ac:dyDescent="0.3">
      <c r="A429" s="5" t="s">
        <v>66</v>
      </c>
      <c r="B429" s="6" t="s">
        <v>12</v>
      </c>
      <c r="C429" s="6">
        <v>16902983</v>
      </c>
      <c r="D429" s="6">
        <v>170586</v>
      </c>
      <c r="E429" s="6">
        <v>11926509</v>
      </c>
      <c r="F429" s="6"/>
      <c r="G429" s="7">
        <f t="shared" si="24"/>
        <v>4805888</v>
      </c>
      <c r="H429" s="12">
        <f t="shared" si="25"/>
        <v>1.0092064814831798</v>
      </c>
      <c r="I429" s="12">
        <f t="shared" si="26"/>
        <v>70.558604951563879</v>
      </c>
      <c r="J429">
        <f t="shared" si="27"/>
        <v>13348</v>
      </c>
      <c r="M429" s="5" t="s">
        <v>66</v>
      </c>
      <c r="N429" s="7">
        <v>4805888</v>
      </c>
    </row>
    <row r="430" spans="1:14" x14ac:dyDescent="0.3">
      <c r="A430" s="5" t="s">
        <v>66</v>
      </c>
      <c r="B430" s="6" t="s">
        <v>12</v>
      </c>
      <c r="C430" s="6">
        <v>16914079</v>
      </c>
      <c r="D430" s="6">
        <v>280093</v>
      </c>
      <c r="E430" s="6">
        <v>12080749</v>
      </c>
      <c r="F430" s="6"/>
      <c r="G430" s="7">
        <f t="shared" si="24"/>
        <v>4553237</v>
      </c>
      <c r="H430" s="12">
        <f t="shared" si="25"/>
        <v>1.6559754746327009</v>
      </c>
      <c r="I430" s="12">
        <f t="shared" si="26"/>
        <v>71.424220024040324</v>
      </c>
      <c r="J430">
        <f t="shared" si="27"/>
        <v>11096</v>
      </c>
      <c r="M430" s="5" t="s">
        <v>66</v>
      </c>
      <c r="N430" s="7">
        <v>4553237</v>
      </c>
    </row>
    <row r="431" spans="1:14" x14ac:dyDescent="0.3">
      <c r="A431" s="5" t="s">
        <v>66</v>
      </c>
      <c r="B431" s="6" t="s">
        <v>12</v>
      </c>
      <c r="C431" s="6">
        <v>16926963</v>
      </c>
      <c r="D431" s="6">
        <v>194915</v>
      </c>
      <c r="E431" s="6">
        <v>13072000</v>
      </c>
      <c r="F431" s="6"/>
      <c r="G431" s="7">
        <f t="shared" si="24"/>
        <v>3660048</v>
      </c>
      <c r="H431" s="12">
        <f t="shared" si="25"/>
        <v>1.151506032121651</v>
      </c>
      <c r="I431" s="12">
        <f t="shared" si="26"/>
        <v>77.225902839156674</v>
      </c>
      <c r="J431">
        <f t="shared" si="27"/>
        <v>12884</v>
      </c>
      <c r="M431" s="5" t="s">
        <v>66</v>
      </c>
      <c r="N431" s="7">
        <v>3660048</v>
      </c>
    </row>
    <row r="432" spans="1:14" x14ac:dyDescent="0.3">
      <c r="A432" s="5" t="s">
        <v>66</v>
      </c>
      <c r="B432" s="6" t="s">
        <v>12</v>
      </c>
      <c r="C432" s="6">
        <v>16956991</v>
      </c>
      <c r="D432" s="6">
        <v>198614</v>
      </c>
      <c r="E432" s="6">
        <v>12593544</v>
      </c>
      <c r="F432" s="6"/>
      <c r="G432" s="7">
        <f t="shared" si="24"/>
        <v>4164833</v>
      </c>
      <c r="H432" s="12">
        <f t="shared" si="25"/>
        <v>1.1712809188847242</v>
      </c>
      <c r="I432" s="12">
        <f t="shared" si="26"/>
        <v>74.267563154335576</v>
      </c>
      <c r="J432">
        <f t="shared" si="27"/>
        <v>30028</v>
      </c>
      <c r="M432" s="5" t="s">
        <v>66</v>
      </c>
      <c r="N432" s="7">
        <v>4164833</v>
      </c>
    </row>
    <row r="433" spans="1:14" x14ac:dyDescent="0.3">
      <c r="A433" s="5" t="s">
        <v>66</v>
      </c>
      <c r="B433" s="6" t="s">
        <v>12</v>
      </c>
      <c r="C433" s="6">
        <v>16995159</v>
      </c>
      <c r="D433" s="6">
        <v>366775</v>
      </c>
      <c r="E433" s="6">
        <v>14330217</v>
      </c>
      <c r="F433" s="6"/>
      <c r="G433" s="7">
        <f t="shared" si="24"/>
        <v>2298167</v>
      </c>
      <c r="H433" s="12">
        <f t="shared" si="25"/>
        <v>2.158114554856474</v>
      </c>
      <c r="I433" s="12">
        <f t="shared" si="26"/>
        <v>84.319405308299849</v>
      </c>
      <c r="J433">
        <f t="shared" si="27"/>
        <v>38168</v>
      </c>
      <c r="M433" s="5" t="s">
        <v>66</v>
      </c>
      <c r="N433" s="7">
        <v>2298167</v>
      </c>
    </row>
    <row r="434" spans="1:14" x14ac:dyDescent="0.3">
      <c r="A434" s="5" t="s">
        <v>67</v>
      </c>
      <c r="B434" s="6" t="s">
        <v>12</v>
      </c>
      <c r="C434" s="6">
        <v>17003570</v>
      </c>
      <c r="D434" s="6">
        <v>393425</v>
      </c>
      <c r="E434" s="6">
        <v>13612527</v>
      </c>
      <c r="F434" s="6"/>
      <c r="G434" s="7">
        <f t="shared" si="24"/>
        <v>2997618</v>
      </c>
      <c r="H434" s="12">
        <f t="shared" si="25"/>
        <v>2.3137788123317633</v>
      </c>
      <c r="I434" s="12">
        <f t="shared" si="26"/>
        <v>80.056876291272943</v>
      </c>
      <c r="J434">
        <f t="shared" si="27"/>
        <v>8411</v>
      </c>
      <c r="M434" s="5" t="s">
        <v>67</v>
      </c>
      <c r="N434" s="7">
        <v>2997618</v>
      </c>
    </row>
    <row r="435" spans="1:14" x14ac:dyDescent="0.3">
      <c r="A435" s="5" t="s">
        <v>67</v>
      </c>
      <c r="B435" s="6" t="s">
        <v>12</v>
      </c>
      <c r="C435" s="6">
        <v>17023566</v>
      </c>
      <c r="D435" s="6">
        <v>354713</v>
      </c>
      <c r="E435" s="6">
        <v>14446931</v>
      </c>
      <c r="F435" s="6"/>
      <c r="G435" s="7">
        <f t="shared" si="24"/>
        <v>2221922</v>
      </c>
      <c r="H435" s="12">
        <f t="shared" si="25"/>
        <v>2.0836586177067717</v>
      </c>
      <c r="I435" s="12">
        <f t="shared" si="26"/>
        <v>84.864305163794711</v>
      </c>
      <c r="J435">
        <f t="shared" si="27"/>
        <v>19996</v>
      </c>
      <c r="M435" s="5" t="s">
        <v>67</v>
      </c>
      <c r="N435" s="7">
        <v>2221922</v>
      </c>
    </row>
    <row r="436" spans="1:14" x14ac:dyDescent="0.3">
      <c r="A436" s="5" t="s">
        <v>67</v>
      </c>
      <c r="B436" s="6" t="s">
        <v>12</v>
      </c>
      <c r="C436" s="6">
        <v>17040569</v>
      </c>
      <c r="D436" s="6">
        <v>355583</v>
      </c>
      <c r="E436" s="6">
        <v>14588291</v>
      </c>
      <c r="F436" s="6"/>
      <c r="G436" s="7">
        <f t="shared" si="24"/>
        <v>2096695</v>
      </c>
      <c r="H436" s="12">
        <f t="shared" si="25"/>
        <v>2.0866850162104331</v>
      </c>
      <c r="I436" s="12">
        <f t="shared" si="26"/>
        <v>85.609177721706359</v>
      </c>
      <c r="J436">
        <f t="shared" si="27"/>
        <v>17003</v>
      </c>
      <c r="M436" s="5" t="s">
        <v>67</v>
      </c>
      <c r="N436" s="7">
        <v>2096695</v>
      </c>
    </row>
    <row r="437" spans="1:14" x14ac:dyDescent="0.3">
      <c r="A437" s="5" t="s">
        <v>67</v>
      </c>
      <c r="B437" s="6" t="s">
        <v>12</v>
      </c>
      <c r="C437" s="6">
        <v>17056811</v>
      </c>
      <c r="D437" s="6">
        <v>457193</v>
      </c>
      <c r="E437" s="6">
        <v>15036000</v>
      </c>
      <c r="F437" s="6"/>
      <c r="G437" s="7">
        <f t="shared" si="24"/>
        <v>1563618</v>
      </c>
      <c r="H437" s="12">
        <f t="shared" si="25"/>
        <v>2.6804131206003277</v>
      </c>
      <c r="I437" s="12">
        <f t="shared" si="26"/>
        <v>88.152468829020862</v>
      </c>
      <c r="J437">
        <f t="shared" si="27"/>
        <v>16242</v>
      </c>
      <c r="M437" s="5" t="s">
        <v>67</v>
      </c>
      <c r="N437" s="7">
        <v>1563618</v>
      </c>
    </row>
    <row r="438" spans="1:14" x14ac:dyDescent="0.3">
      <c r="A438" s="5" t="s">
        <v>67</v>
      </c>
      <c r="B438" s="6" t="s">
        <v>12</v>
      </c>
      <c r="C438" s="6">
        <v>17085857</v>
      </c>
      <c r="D438" s="6">
        <v>450060</v>
      </c>
      <c r="E438" s="6">
        <v>13521993</v>
      </c>
      <c r="F438" s="6"/>
      <c r="G438" s="7">
        <f t="shared" si="24"/>
        <v>3113804</v>
      </c>
      <c r="H438" s="12">
        <f t="shared" si="25"/>
        <v>2.6341084324889295</v>
      </c>
      <c r="I438" s="12">
        <f t="shared" si="26"/>
        <v>79.141438442332742</v>
      </c>
      <c r="J438">
        <f t="shared" si="27"/>
        <v>29046</v>
      </c>
      <c r="M438" s="5" t="s">
        <v>67</v>
      </c>
      <c r="N438" s="7">
        <v>3113804</v>
      </c>
    </row>
    <row r="439" spans="1:14" x14ac:dyDescent="0.3">
      <c r="A439" s="5" t="s">
        <v>67</v>
      </c>
      <c r="B439" s="6" t="s">
        <v>12</v>
      </c>
      <c r="C439" s="6">
        <v>17106865</v>
      </c>
      <c r="D439" s="6">
        <v>298146</v>
      </c>
      <c r="E439" s="6">
        <v>13544279</v>
      </c>
      <c r="F439" s="6"/>
      <c r="G439" s="7">
        <f t="shared" si="24"/>
        <v>3264440</v>
      </c>
      <c r="H439" s="12">
        <f t="shared" si="25"/>
        <v>1.7428441739617397</v>
      </c>
      <c r="I439" s="12">
        <f t="shared" si="26"/>
        <v>79.174524379540017</v>
      </c>
      <c r="J439">
        <f t="shared" si="27"/>
        <v>21008</v>
      </c>
      <c r="M439" s="5" t="s">
        <v>67</v>
      </c>
      <c r="N439" s="7">
        <v>3264440</v>
      </c>
    </row>
    <row r="440" spans="1:14" x14ac:dyDescent="0.3">
      <c r="A440" s="5" t="s">
        <v>67</v>
      </c>
      <c r="B440" s="6" t="s">
        <v>12</v>
      </c>
      <c r="C440" s="6">
        <v>17137096</v>
      </c>
      <c r="D440" s="6">
        <v>326832</v>
      </c>
      <c r="E440" s="6">
        <v>13323521</v>
      </c>
      <c r="F440" s="6"/>
      <c r="G440" s="7">
        <f t="shared" si="24"/>
        <v>3486743</v>
      </c>
      <c r="H440" s="12">
        <f t="shared" si="25"/>
        <v>1.9071609332176234</v>
      </c>
      <c r="I440" s="12">
        <f t="shared" si="26"/>
        <v>77.746667229967088</v>
      </c>
      <c r="J440">
        <f t="shared" si="27"/>
        <v>30231</v>
      </c>
      <c r="M440" s="5" t="s">
        <v>67</v>
      </c>
      <c r="N440" s="7">
        <v>3486743</v>
      </c>
    </row>
    <row r="441" spans="1:14" x14ac:dyDescent="0.3">
      <c r="A441" s="5" t="s">
        <v>67</v>
      </c>
      <c r="B441" s="6" t="s">
        <v>12</v>
      </c>
      <c r="C441" s="6">
        <v>17148050</v>
      </c>
      <c r="D441" s="6">
        <v>314671</v>
      </c>
      <c r="E441" s="6">
        <v>14338568</v>
      </c>
      <c r="F441" s="6"/>
      <c r="G441" s="7">
        <f t="shared" si="24"/>
        <v>2494811</v>
      </c>
      <c r="H441" s="12">
        <f t="shared" si="25"/>
        <v>1.8350249736850546</v>
      </c>
      <c r="I441" s="12">
        <f t="shared" si="26"/>
        <v>83.616317890372372</v>
      </c>
      <c r="J441">
        <f t="shared" si="27"/>
        <v>10954</v>
      </c>
      <c r="M441" s="5" t="s">
        <v>67</v>
      </c>
      <c r="N441" s="7">
        <v>2494811</v>
      </c>
    </row>
    <row r="442" spans="1:14" x14ac:dyDescent="0.3">
      <c r="A442" s="5" t="s">
        <v>68</v>
      </c>
      <c r="B442" s="6" t="s">
        <v>12</v>
      </c>
      <c r="C442" s="6">
        <v>17179551</v>
      </c>
      <c r="D442" s="6">
        <v>225268</v>
      </c>
      <c r="E442" s="6">
        <v>13520969</v>
      </c>
      <c r="F442" s="6"/>
      <c r="G442" s="7">
        <f t="shared" si="24"/>
        <v>3433314</v>
      </c>
      <c r="H442" s="12">
        <f t="shared" si="25"/>
        <v>1.3112566213168202</v>
      </c>
      <c r="I442" s="12">
        <f t="shared" si="26"/>
        <v>78.703855531497879</v>
      </c>
      <c r="J442">
        <f t="shared" si="27"/>
        <v>31501</v>
      </c>
      <c r="M442" s="5" t="s">
        <v>68</v>
      </c>
      <c r="N442" s="7">
        <v>3433314</v>
      </c>
    </row>
    <row r="443" spans="1:14" x14ac:dyDescent="0.3">
      <c r="A443" s="5" t="s">
        <v>68</v>
      </c>
      <c r="B443" s="6" t="s">
        <v>12</v>
      </c>
      <c r="C443" s="6">
        <v>17200306</v>
      </c>
      <c r="D443" s="6">
        <v>313276</v>
      </c>
      <c r="E443" s="6">
        <v>13327932</v>
      </c>
      <c r="F443" s="6"/>
      <c r="G443" s="7">
        <f t="shared" si="24"/>
        <v>3559098</v>
      </c>
      <c r="H443" s="12">
        <f t="shared" si="25"/>
        <v>1.8213396901194663</v>
      </c>
      <c r="I443" s="12">
        <f t="shared" si="26"/>
        <v>77.486598203543593</v>
      </c>
      <c r="J443">
        <f t="shared" si="27"/>
        <v>20755</v>
      </c>
      <c r="M443" s="5" t="s">
        <v>68</v>
      </c>
      <c r="N443" s="7">
        <v>3559098</v>
      </c>
    </row>
    <row r="444" spans="1:14" x14ac:dyDescent="0.3">
      <c r="A444" s="5" t="s">
        <v>68</v>
      </c>
      <c r="B444" s="6" t="s">
        <v>12</v>
      </c>
      <c r="C444" s="6">
        <v>17202386</v>
      </c>
      <c r="D444" s="6">
        <v>491306</v>
      </c>
      <c r="E444" s="6">
        <v>13752458</v>
      </c>
      <c r="F444" s="6"/>
      <c r="G444" s="7">
        <f t="shared" si="24"/>
        <v>2958622</v>
      </c>
      <c r="H444" s="12">
        <f t="shared" si="25"/>
        <v>2.8560340408592158</v>
      </c>
      <c r="I444" s="12">
        <f t="shared" si="26"/>
        <v>79.945061109546074</v>
      </c>
      <c r="J444">
        <f t="shared" si="27"/>
        <v>2080</v>
      </c>
      <c r="M444" s="5" t="s">
        <v>68</v>
      </c>
      <c r="N444" s="7">
        <v>2958622</v>
      </c>
    </row>
    <row r="445" spans="1:14" x14ac:dyDescent="0.3">
      <c r="A445" s="5" t="s">
        <v>68</v>
      </c>
      <c r="B445" s="6" t="s">
        <v>12</v>
      </c>
      <c r="C445" s="6">
        <v>17243466</v>
      </c>
      <c r="D445" s="6">
        <v>381203</v>
      </c>
      <c r="E445" s="6">
        <v>14499807</v>
      </c>
      <c r="F445" s="6"/>
      <c r="G445" s="7">
        <f t="shared" si="24"/>
        <v>2362456</v>
      </c>
      <c r="H445" s="12">
        <f t="shared" si="25"/>
        <v>2.2107098422092171</v>
      </c>
      <c r="I445" s="12">
        <f t="shared" si="26"/>
        <v>84.088703512391305</v>
      </c>
      <c r="J445">
        <f t="shared" si="27"/>
        <v>41080</v>
      </c>
      <c r="M445" s="5" t="s">
        <v>68</v>
      </c>
      <c r="N445" s="7">
        <v>2362456</v>
      </c>
    </row>
    <row r="446" spans="1:14" x14ac:dyDescent="0.3">
      <c r="A446" s="5" t="s">
        <v>68</v>
      </c>
      <c r="B446" s="6" t="s">
        <v>12</v>
      </c>
      <c r="C446" s="6">
        <v>17281198</v>
      </c>
      <c r="D446" s="6">
        <v>289695</v>
      </c>
      <c r="E446" s="6">
        <v>12193257</v>
      </c>
      <c r="F446" s="6"/>
      <c r="G446" s="7">
        <f t="shared" si="24"/>
        <v>4798246</v>
      </c>
      <c r="H446" s="12">
        <f t="shared" si="25"/>
        <v>1.676359474615128</v>
      </c>
      <c r="I446" s="12">
        <f t="shared" si="26"/>
        <v>70.557938170721727</v>
      </c>
      <c r="J446">
        <f t="shared" si="27"/>
        <v>37732</v>
      </c>
      <c r="M446" s="5" t="s">
        <v>68</v>
      </c>
      <c r="N446" s="7">
        <v>4798246</v>
      </c>
    </row>
    <row r="447" spans="1:14" x14ac:dyDescent="0.3">
      <c r="A447" s="5" t="s">
        <v>68</v>
      </c>
      <c r="B447" s="6" t="s">
        <v>12</v>
      </c>
      <c r="C447" s="6">
        <v>17306705</v>
      </c>
      <c r="D447" s="6">
        <v>306960</v>
      </c>
      <c r="E447" s="6">
        <v>12826438</v>
      </c>
      <c r="F447" s="6"/>
      <c r="G447" s="7">
        <f t="shared" si="24"/>
        <v>4173307</v>
      </c>
      <c r="H447" s="12">
        <f t="shared" si="25"/>
        <v>1.7736478434225347</v>
      </c>
      <c r="I447" s="12">
        <f t="shared" si="26"/>
        <v>74.112536152895657</v>
      </c>
      <c r="J447">
        <f t="shared" si="27"/>
        <v>25507</v>
      </c>
      <c r="M447" s="5" t="s">
        <v>68</v>
      </c>
      <c r="N447" s="7">
        <v>4173307</v>
      </c>
    </row>
    <row r="448" spans="1:14" x14ac:dyDescent="0.3">
      <c r="A448" s="5" t="s">
        <v>68</v>
      </c>
      <c r="B448" s="6" t="s">
        <v>12</v>
      </c>
      <c r="C448" s="6">
        <v>17309813</v>
      </c>
      <c r="D448" s="6">
        <v>373508</v>
      </c>
      <c r="E448" s="6">
        <v>12798727</v>
      </c>
      <c r="F448" s="6"/>
      <c r="G448" s="7">
        <f t="shared" si="24"/>
        <v>4137578</v>
      </c>
      <c r="H448" s="12">
        <f t="shared" si="25"/>
        <v>2.1577818316119304</v>
      </c>
      <c r="I448" s="12">
        <f t="shared" si="26"/>
        <v>73.93914076368128</v>
      </c>
      <c r="J448">
        <f t="shared" si="27"/>
        <v>3108</v>
      </c>
      <c r="M448" s="5" t="s">
        <v>68</v>
      </c>
      <c r="N448" s="7">
        <v>4137578</v>
      </c>
    </row>
    <row r="449" spans="1:14" x14ac:dyDescent="0.3">
      <c r="A449" s="5" t="s">
        <v>68</v>
      </c>
      <c r="B449" s="6" t="s">
        <v>12</v>
      </c>
      <c r="C449" s="6">
        <v>17355948</v>
      </c>
      <c r="D449" s="6">
        <v>206769</v>
      </c>
      <c r="E449" s="6">
        <v>15613819</v>
      </c>
      <c r="F449" s="6"/>
      <c r="G449" s="7">
        <f t="shared" si="24"/>
        <v>1535360</v>
      </c>
      <c r="H449" s="12">
        <f t="shared" si="25"/>
        <v>1.1913437399097992</v>
      </c>
      <c r="I449" s="12">
        <f t="shared" si="26"/>
        <v>89.96235181160948</v>
      </c>
      <c r="J449">
        <f t="shared" si="27"/>
        <v>46135</v>
      </c>
      <c r="M449" s="5" t="s">
        <v>68</v>
      </c>
      <c r="N449" s="7">
        <v>1535360</v>
      </c>
    </row>
    <row r="450" spans="1:14" x14ac:dyDescent="0.3">
      <c r="A450" s="5" t="s">
        <v>69</v>
      </c>
      <c r="B450" s="6" t="s">
        <v>12</v>
      </c>
      <c r="C450" s="6">
        <v>17404969</v>
      </c>
      <c r="D450" s="6">
        <v>357362</v>
      </c>
      <c r="E450" s="6">
        <v>14940008</v>
      </c>
      <c r="F450" s="6"/>
      <c r="G450" s="7">
        <f t="shared" si="24"/>
        <v>2107599</v>
      </c>
      <c r="H450" s="12">
        <f t="shared" si="25"/>
        <v>2.0532182504892709</v>
      </c>
      <c r="I450" s="12">
        <f t="shared" si="26"/>
        <v>85.837601894033824</v>
      </c>
      <c r="J450">
        <f t="shared" si="27"/>
        <v>49021</v>
      </c>
      <c r="M450" s="5" t="s">
        <v>69</v>
      </c>
      <c r="N450" s="7">
        <v>2107599</v>
      </c>
    </row>
    <row r="451" spans="1:14" x14ac:dyDescent="0.3">
      <c r="A451" s="5" t="s">
        <v>69</v>
      </c>
      <c r="B451" s="6" t="s">
        <v>12</v>
      </c>
      <c r="C451" s="6">
        <v>17424870</v>
      </c>
      <c r="D451" s="6">
        <v>225582</v>
      </c>
      <c r="E451" s="6">
        <v>14466089</v>
      </c>
      <c r="F451" s="6"/>
      <c r="G451" s="7">
        <f t="shared" ref="G451:G514" si="28" xml:space="preserve"> C451-D451-E451</f>
        <v>2733199</v>
      </c>
      <c r="H451" s="12">
        <f t="shared" ref="H451:H514" si="29">D451/C451*100</f>
        <v>1.2945978937002112</v>
      </c>
      <c r="I451" s="12">
        <f t="shared" ref="I451:I514" si="30">E451/C451*100</f>
        <v>83.01978149621776</v>
      </c>
      <c r="J451">
        <f t="shared" ref="J451:J514" si="31">IF(B451=B450,C451-C450,"")</f>
        <v>19901</v>
      </c>
      <c r="M451" s="5" t="s">
        <v>69</v>
      </c>
      <c r="N451" s="7">
        <v>2733199</v>
      </c>
    </row>
    <row r="452" spans="1:14" x14ac:dyDescent="0.3">
      <c r="A452" s="5" t="s">
        <v>69</v>
      </c>
      <c r="B452" s="6" t="s">
        <v>6</v>
      </c>
      <c r="C452" s="6">
        <v>15993404</v>
      </c>
      <c r="D452" s="6">
        <v>257360</v>
      </c>
      <c r="E452" s="6">
        <v>13640197</v>
      </c>
      <c r="F452" s="6"/>
      <c r="G452" s="7">
        <f t="shared" si="28"/>
        <v>2095847</v>
      </c>
      <c r="H452" s="12">
        <f t="shared" si="29"/>
        <v>1.6091633776024166</v>
      </c>
      <c r="I452" s="12">
        <f t="shared" si="30"/>
        <v>85.286390564510214</v>
      </c>
      <c r="J452" t="str">
        <f t="shared" si="31"/>
        <v/>
      </c>
      <c r="M452" s="5" t="s">
        <v>69</v>
      </c>
      <c r="N452" s="7">
        <v>2095847</v>
      </c>
    </row>
    <row r="453" spans="1:14" x14ac:dyDescent="0.3">
      <c r="A453" s="5" t="s">
        <v>69</v>
      </c>
      <c r="B453" s="6" t="s">
        <v>6</v>
      </c>
      <c r="C453" s="6">
        <v>15997126</v>
      </c>
      <c r="D453" s="6">
        <v>427821</v>
      </c>
      <c r="E453" s="6">
        <v>11974844</v>
      </c>
      <c r="F453" s="6"/>
      <c r="G453" s="7">
        <f t="shared" si="28"/>
        <v>3594461</v>
      </c>
      <c r="H453" s="12">
        <f t="shared" si="29"/>
        <v>2.6743616322081856</v>
      </c>
      <c r="I453" s="12">
        <f t="shared" si="30"/>
        <v>74.856221048705876</v>
      </c>
      <c r="J453">
        <f t="shared" si="31"/>
        <v>3722</v>
      </c>
      <c r="M453" s="5" t="s">
        <v>69</v>
      </c>
      <c r="N453" s="7">
        <v>3594461</v>
      </c>
    </row>
    <row r="454" spans="1:14" x14ac:dyDescent="0.3">
      <c r="A454" s="5" t="s">
        <v>69</v>
      </c>
      <c r="B454" s="6" t="s">
        <v>6</v>
      </c>
      <c r="C454" s="6">
        <v>16024303</v>
      </c>
      <c r="D454" s="6">
        <v>226671</v>
      </c>
      <c r="E454" s="6">
        <v>11569265</v>
      </c>
      <c r="F454" s="6"/>
      <c r="G454" s="7">
        <f t="shared" si="28"/>
        <v>4228367</v>
      </c>
      <c r="H454" s="12">
        <f t="shared" si="29"/>
        <v>1.4145451443348269</v>
      </c>
      <c r="I454" s="12">
        <f t="shared" si="30"/>
        <v>72.198241633349042</v>
      </c>
      <c r="J454">
        <f t="shared" si="31"/>
        <v>27177</v>
      </c>
      <c r="M454" s="5" t="s">
        <v>69</v>
      </c>
      <c r="N454" s="7">
        <v>4228367</v>
      </c>
    </row>
    <row r="455" spans="1:14" x14ac:dyDescent="0.3">
      <c r="A455" s="5" t="s">
        <v>69</v>
      </c>
      <c r="B455" s="6" t="s">
        <v>6</v>
      </c>
      <c r="C455" s="6">
        <v>16034192</v>
      </c>
      <c r="D455" s="6">
        <v>378277</v>
      </c>
      <c r="E455" s="6">
        <v>13981304</v>
      </c>
      <c r="F455" s="6"/>
      <c r="G455" s="7">
        <f t="shared" si="28"/>
        <v>1674611</v>
      </c>
      <c r="H455" s="12">
        <f t="shared" si="29"/>
        <v>2.3591896616929624</v>
      </c>
      <c r="I455" s="12">
        <f t="shared" si="30"/>
        <v>87.196810416140707</v>
      </c>
      <c r="J455">
        <f t="shared" si="31"/>
        <v>9889</v>
      </c>
      <c r="M455" s="5" t="s">
        <v>69</v>
      </c>
      <c r="N455" s="7">
        <v>1674611</v>
      </c>
    </row>
    <row r="456" spans="1:14" x14ac:dyDescent="0.3">
      <c r="A456" s="5" t="s">
        <v>69</v>
      </c>
      <c r="B456" s="6" t="s">
        <v>6</v>
      </c>
      <c r="C456" s="6">
        <v>16060655</v>
      </c>
      <c r="D456" s="6">
        <v>363664</v>
      </c>
      <c r="E456" s="6">
        <v>13216381</v>
      </c>
      <c r="F456" s="6"/>
      <c r="G456" s="7">
        <f t="shared" si="28"/>
        <v>2480610</v>
      </c>
      <c r="H456" s="12">
        <f t="shared" si="29"/>
        <v>2.2643161191122028</v>
      </c>
      <c r="I456" s="12">
        <f t="shared" si="30"/>
        <v>82.290423398049455</v>
      </c>
      <c r="J456">
        <f t="shared" si="31"/>
        <v>26463</v>
      </c>
      <c r="M456" s="5" t="s">
        <v>69</v>
      </c>
      <c r="N456" s="7">
        <v>2480610</v>
      </c>
    </row>
    <row r="457" spans="1:14" x14ac:dyDescent="0.3">
      <c r="A457" s="5" t="s">
        <v>69</v>
      </c>
      <c r="B457" s="6" t="s">
        <v>6</v>
      </c>
      <c r="C457" s="6">
        <v>16101749</v>
      </c>
      <c r="D457" s="6">
        <v>409740</v>
      </c>
      <c r="E457" s="6">
        <v>14084073</v>
      </c>
      <c r="F457" s="6"/>
      <c r="G457" s="7">
        <f t="shared" si="28"/>
        <v>1607936</v>
      </c>
      <c r="H457" s="12">
        <f t="shared" si="29"/>
        <v>2.5446925051433853</v>
      </c>
      <c r="I457" s="12">
        <f t="shared" si="30"/>
        <v>87.469212195519873</v>
      </c>
      <c r="J457">
        <f t="shared" si="31"/>
        <v>41094</v>
      </c>
      <c r="M457" s="5" t="s">
        <v>69</v>
      </c>
      <c r="N457" s="7">
        <v>1607936</v>
      </c>
    </row>
    <row r="458" spans="1:14" x14ac:dyDescent="0.3">
      <c r="A458" s="5" t="s">
        <v>70</v>
      </c>
      <c r="B458" s="6" t="s">
        <v>6</v>
      </c>
      <c r="C458" s="6">
        <v>16129088</v>
      </c>
      <c r="D458" s="6">
        <v>180655</v>
      </c>
      <c r="E458" s="6">
        <v>13229477</v>
      </c>
      <c r="F458" s="6"/>
      <c r="G458" s="7">
        <f t="shared" si="28"/>
        <v>2718956</v>
      </c>
      <c r="H458" s="12">
        <f t="shared" si="29"/>
        <v>1.1200571290825618</v>
      </c>
      <c r="I458" s="12">
        <f t="shared" si="30"/>
        <v>82.022473930330094</v>
      </c>
      <c r="J458">
        <f t="shared" si="31"/>
        <v>27339</v>
      </c>
      <c r="M458" s="5" t="s">
        <v>70</v>
      </c>
      <c r="N458" s="7">
        <v>2718956</v>
      </c>
    </row>
    <row r="459" spans="1:14" x14ac:dyDescent="0.3">
      <c r="A459" s="5" t="s">
        <v>70</v>
      </c>
      <c r="B459" s="6" t="s">
        <v>6</v>
      </c>
      <c r="C459" s="6">
        <v>16159199</v>
      </c>
      <c r="D459" s="6">
        <v>255614</v>
      </c>
      <c r="E459" s="6">
        <v>13416660</v>
      </c>
      <c r="F459" s="6"/>
      <c r="G459" s="7">
        <f t="shared" si="28"/>
        <v>2486925</v>
      </c>
      <c r="H459" s="12">
        <f t="shared" si="29"/>
        <v>1.581848209184131</v>
      </c>
      <c r="I459" s="12">
        <f t="shared" si="30"/>
        <v>83.028001573592846</v>
      </c>
      <c r="J459">
        <f t="shared" si="31"/>
        <v>30111</v>
      </c>
      <c r="M459" s="5" t="s">
        <v>70</v>
      </c>
      <c r="N459" s="7">
        <v>2486925</v>
      </c>
    </row>
    <row r="460" spans="1:14" x14ac:dyDescent="0.3">
      <c r="A460" s="5" t="s">
        <v>70</v>
      </c>
      <c r="B460" s="6" t="s">
        <v>6</v>
      </c>
      <c r="C460" s="6">
        <v>16187037</v>
      </c>
      <c r="D460" s="6">
        <v>306899</v>
      </c>
      <c r="E460" s="6">
        <v>13164406</v>
      </c>
      <c r="F460" s="6"/>
      <c r="G460" s="7">
        <f t="shared" si="28"/>
        <v>2715732</v>
      </c>
      <c r="H460" s="12">
        <f t="shared" si="29"/>
        <v>1.8959553870174017</v>
      </c>
      <c r="I460" s="12">
        <f t="shared" si="30"/>
        <v>81.326841966198018</v>
      </c>
      <c r="J460">
        <f t="shared" si="31"/>
        <v>27838</v>
      </c>
      <c r="M460" s="5" t="s">
        <v>70</v>
      </c>
      <c r="N460" s="7">
        <v>2715732</v>
      </c>
    </row>
    <row r="461" spans="1:14" x14ac:dyDescent="0.3">
      <c r="A461" s="5" t="s">
        <v>70</v>
      </c>
      <c r="B461" s="6" t="s">
        <v>6</v>
      </c>
      <c r="C461" s="6">
        <v>16214036</v>
      </c>
      <c r="D461" s="6">
        <v>482992</v>
      </c>
      <c r="E461" s="6">
        <v>12928856</v>
      </c>
      <c r="F461" s="6"/>
      <c r="G461" s="7">
        <f t="shared" si="28"/>
        <v>2802188</v>
      </c>
      <c r="H461" s="12">
        <f t="shared" si="29"/>
        <v>2.9788511632760653</v>
      </c>
      <c r="I461" s="12">
        <f t="shared" si="30"/>
        <v>79.738665931172221</v>
      </c>
      <c r="J461">
        <f t="shared" si="31"/>
        <v>26999</v>
      </c>
      <c r="M461" s="5" t="s">
        <v>70</v>
      </c>
      <c r="N461" s="7">
        <v>2802188</v>
      </c>
    </row>
    <row r="462" spans="1:14" x14ac:dyDescent="0.3">
      <c r="A462" s="5" t="s">
        <v>70</v>
      </c>
      <c r="B462" s="6" t="s">
        <v>6</v>
      </c>
      <c r="C462" s="6">
        <v>16226092</v>
      </c>
      <c r="D462" s="6">
        <v>254610</v>
      </c>
      <c r="E462" s="6">
        <v>13506448</v>
      </c>
      <c r="F462" s="6"/>
      <c r="G462" s="7">
        <f t="shared" si="28"/>
        <v>2465034</v>
      </c>
      <c r="H462" s="12">
        <f t="shared" si="29"/>
        <v>1.5691393836544252</v>
      </c>
      <c r="I462" s="12">
        <f t="shared" si="30"/>
        <v>83.239069518402829</v>
      </c>
      <c r="J462">
        <f t="shared" si="31"/>
        <v>12056</v>
      </c>
      <c r="M462" s="5" t="s">
        <v>70</v>
      </c>
      <c r="N462" s="7">
        <v>2465034</v>
      </c>
    </row>
    <row r="463" spans="1:14" x14ac:dyDescent="0.3">
      <c r="A463" s="5" t="s">
        <v>70</v>
      </c>
      <c r="B463" s="6" t="s">
        <v>6</v>
      </c>
      <c r="C463" s="6">
        <v>16271518</v>
      </c>
      <c r="D463" s="6">
        <v>486672</v>
      </c>
      <c r="E463" s="6">
        <v>13605953</v>
      </c>
      <c r="F463" s="6"/>
      <c r="G463" s="7">
        <f t="shared" si="28"/>
        <v>2178893</v>
      </c>
      <c r="H463" s="12">
        <f t="shared" si="29"/>
        <v>2.9909440532837808</v>
      </c>
      <c r="I463" s="12">
        <f t="shared" si="30"/>
        <v>83.618215583819534</v>
      </c>
      <c r="J463">
        <f t="shared" si="31"/>
        <v>45426</v>
      </c>
      <c r="M463" s="5" t="s">
        <v>70</v>
      </c>
      <c r="N463" s="7">
        <v>2178893</v>
      </c>
    </row>
    <row r="464" spans="1:14" x14ac:dyDescent="0.3">
      <c r="A464" s="5" t="s">
        <v>70</v>
      </c>
      <c r="B464" s="6" t="s">
        <v>6</v>
      </c>
      <c r="C464" s="6">
        <v>16287331</v>
      </c>
      <c r="D464" s="6">
        <v>476956</v>
      </c>
      <c r="E464" s="6">
        <v>11441050</v>
      </c>
      <c r="F464" s="6"/>
      <c r="G464" s="7">
        <f t="shared" si="28"/>
        <v>4369325</v>
      </c>
      <c r="H464" s="12">
        <f t="shared" si="29"/>
        <v>2.9283864864046785</v>
      </c>
      <c r="I464" s="12">
        <f t="shared" si="30"/>
        <v>70.24508803805854</v>
      </c>
      <c r="J464">
        <f t="shared" si="31"/>
        <v>15813</v>
      </c>
      <c r="M464" s="5" t="s">
        <v>70</v>
      </c>
      <c r="N464" s="7">
        <v>4369325</v>
      </c>
    </row>
    <row r="465" spans="1:14" x14ac:dyDescent="0.3">
      <c r="A465" s="5" t="s">
        <v>70</v>
      </c>
      <c r="B465" s="6" t="s">
        <v>6</v>
      </c>
      <c r="C465" s="6">
        <v>16334442</v>
      </c>
      <c r="D465" s="6">
        <v>185081</v>
      </c>
      <c r="E465" s="6">
        <v>14543112</v>
      </c>
      <c r="F465" s="6"/>
      <c r="G465" s="7">
        <f t="shared" si="28"/>
        <v>1606249</v>
      </c>
      <c r="H465" s="12">
        <f t="shared" si="29"/>
        <v>1.1330720694346339</v>
      </c>
      <c r="I465" s="12">
        <f t="shared" si="30"/>
        <v>89.033417854126881</v>
      </c>
      <c r="J465">
        <f t="shared" si="31"/>
        <v>47111</v>
      </c>
      <c r="M465" s="5" t="s">
        <v>70</v>
      </c>
      <c r="N465" s="7">
        <v>1606249</v>
      </c>
    </row>
    <row r="466" spans="1:14" x14ac:dyDescent="0.3">
      <c r="A466" s="5" t="s">
        <v>71</v>
      </c>
      <c r="B466" s="6" t="s">
        <v>6</v>
      </c>
      <c r="C466" s="6">
        <v>16349426</v>
      </c>
      <c r="D466" s="6">
        <v>385152</v>
      </c>
      <c r="E466" s="6">
        <v>12164958</v>
      </c>
      <c r="F466" s="6"/>
      <c r="G466" s="7">
        <f t="shared" si="28"/>
        <v>3799316</v>
      </c>
      <c r="H466" s="12">
        <f t="shared" si="29"/>
        <v>2.3557524282503866</v>
      </c>
      <c r="I466" s="12">
        <f t="shared" si="30"/>
        <v>74.406025018859992</v>
      </c>
      <c r="J466">
        <f t="shared" si="31"/>
        <v>14984</v>
      </c>
      <c r="M466" s="5" t="s">
        <v>71</v>
      </c>
      <c r="N466" s="7">
        <v>3799316</v>
      </c>
    </row>
    <row r="467" spans="1:14" x14ac:dyDescent="0.3">
      <c r="A467" s="5" t="s">
        <v>71</v>
      </c>
      <c r="B467" s="6" t="s">
        <v>6</v>
      </c>
      <c r="C467" s="6">
        <v>16357359</v>
      </c>
      <c r="D467" s="6">
        <v>437657</v>
      </c>
      <c r="E467" s="6">
        <v>14551390</v>
      </c>
      <c r="F467" s="6"/>
      <c r="G467" s="7">
        <f t="shared" si="28"/>
        <v>1368312</v>
      </c>
      <c r="H467" s="12">
        <f t="shared" si="29"/>
        <v>2.6755969591423652</v>
      </c>
      <c r="I467" s="12">
        <f t="shared" si="30"/>
        <v>88.959287376403481</v>
      </c>
      <c r="J467">
        <f t="shared" si="31"/>
        <v>7933</v>
      </c>
      <c r="M467" s="5" t="s">
        <v>71</v>
      </c>
      <c r="N467" s="7">
        <v>1368312</v>
      </c>
    </row>
    <row r="468" spans="1:14" x14ac:dyDescent="0.3">
      <c r="A468" s="5" t="s">
        <v>71</v>
      </c>
      <c r="B468" s="6" t="s">
        <v>6</v>
      </c>
      <c r="C468" s="6">
        <v>16384349</v>
      </c>
      <c r="D468" s="6">
        <v>190974</v>
      </c>
      <c r="E468" s="6">
        <v>11994114</v>
      </c>
      <c r="F468" s="6"/>
      <c r="G468" s="7">
        <f t="shared" si="28"/>
        <v>4199261</v>
      </c>
      <c r="H468" s="12">
        <f t="shared" si="29"/>
        <v>1.1655879644653566</v>
      </c>
      <c r="I468" s="12">
        <f t="shared" si="30"/>
        <v>73.204702853924815</v>
      </c>
      <c r="J468">
        <f t="shared" si="31"/>
        <v>26990</v>
      </c>
      <c r="M468" s="5" t="s">
        <v>71</v>
      </c>
      <c r="N468" s="7">
        <v>4199261</v>
      </c>
    </row>
    <row r="469" spans="1:14" x14ac:dyDescent="0.3">
      <c r="A469" s="5" t="s">
        <v>71</v>
      </c>
      <c r="B469" s="6" t="s">
        <v>6</v>
      </c>
      <c r="C469" s="6">
        <v>16413552</v>
      </c>
      <c r="D469" s="6">
        <v>433601</v>
      </c>
      <c r="E469" s="6">
        <v>12174786</v>
      </c>
      <c r="F469" s="6"/>
      <c r="G469" s="7">
        <f t="shared" si="28"/>
        <v>3805165</v>
      </c>
      <c r="H469" s="12">
        <f t="shared" si="29"/>
        <v>2.641725569212563</v>
      </c>
      <c r="I469" s="12">
        <f t="shared" si="30"/>
        <v>74.175205951764738</v>
      </c>
      <c r="J469">
        <f t="shared" si="31"/>
        <v>29203</v>
      </c>
      <c r="M469" s="5" t="s">
        <v>71</v>
      </c>
      <c r="N469" s="7">
        <v>3805165</v>
      </c>
    </row>
    <row r="470" spans="1:14" x14ac:dyDescent="0.3">
      <c r="A470" s="5" t="s">
        <v>71</v>
      </c>
      <c r="B470" s="6" t="s">
        <v>6</v>
      </c>
      <c r="C470" s="6">
        <v>16416170</v>
      </c>
      <c r="D470" s="6">
        <v>233039</v>
      </c>
      <c r="E470" s="6">
        <v>13623982</v>
      </c>
      <c r="F470" s="6"/>
      <c r="G470" s="7">
        <f t="shared" si="28"/>
        <v>2559149</v>
      </c>
      <c r="H470" s="12">
        <f t="shared" si="29"/>
        <v>1.4195698509457444</v>
      </c>
      <c r="I470" s="12">
        <f t="shared" si="30"/>
        <v>82.991233643413779</v>
      </c>
      <c r="J470">
        <f t="shared" si="31"/>
        <v>2618</v>
      </c>
      <c r="M470" s="5" t="s">
        <v>71</v>
      </c>
      <c r="N470" s="7">
        <v>2559149</v>
      </c>
    </row>
    <row r="471" spans="1:14" x14ac:dyDescent="0.3">
      <c r="A471" s="5" t="s">
        <v>71</v>
      </c>
      <c r="B471" s="6" t="s">
        <v>6</v>
      </c>
      <c r="C471" s="6">
        <v>16434623</v>
      </c>
      <c r="D471" s="6">
        <v>171580</v>
      </c>
      <c r="E471" s="6">
        <v>14426988</v>
      </c>
      <c r="F471" s="6"/>
      <c r="G471" s="7">
        <f t="shared" si="28"/>
        <v>1836055</v>
      </c>
      <c r="H471" s="12">
        <f t="shared" si="29"/>
        <v>1.0440154301075235</v>
      </c>
      <c r="I471" s="12">
        <f t="shared" si="30"/>
        <v>87.784112845180573</v>
      </c>
      <c r="J471">
        <f t="shared" si="31"/>
        <v>18453</v>
      </c>
      <c r="M471" s="5" t="s">
        <v>71</v>
      </c>
      <c r="N471" s="7">
        <v>1836055</v>
      </c>
    </row>
    <row r="472" spans="1:14" x14ac:dyDescent="0.3">
      <c r="A472" s="5" t="s">
        <v>71</v>
      </c>
      <c r="B472" s="6" t="s">
        <v>6</v>
      </c>
      <c r="C472" s="6">
        <v>16452757</v>
      </c>
      <c r="D472" s="6">
        <v>268966</v>
      </c>
      <c r="E472" s="6">
        <v>12941299</v>
      </c>
      <c r="F472" s="6"/>
      <c r="G472" s="7">
        <f t="shared" si="28"/>
        <v>3242492</v>
      </c>
      <c r="H472" s="12">
        <f t="shared" si="29"/>
        <v>1.6347776849800919</v>
      </c>
      <c r="I472" s="12">
        <f t="shared" si="30"/>
        <v>78.657327765796339</v>
      </c>
      <c r="J472">
        <f t="shared" si="31"/>
        <v>18134</v>
      </c>
      <c r="M472" s="5" t="s">
        <v>71</v>
      </c>
      <c r="N472" s="7">
        <v>3242492</v>
      </c>
    </row>
    <row r="473" spans="1:14" x14ac:dyDescent="0.3">
      <c r="A473" s="5" t="s">
        <v>71</v>
      </c>
      <c r="B473" s="6" t="s">
        <v>6</v>
      </c>
      <c r="C473" s="6">
        <v>16462586</v>
      </c>
      <c r="D473" s="6">
        <v>407299</v>
      </c>
      <c r="E473" s="6">
        <v>13057108</v>
      </c>
      <c r="F473" s="6"/>
      <c r="G473" s="7">
        <f t="shared" si="28"/>
        <v>2998179</v>
      </c>
      <c r="H473" s="12">
        <f t="shared" si="29"/>
        <v>2.4740888217683419</v>
      </c>
      <c r="I473" s="12">
        <f t="shared" si="30"/>
        <v>79.313833197287479</v>
      </c>
      <c r="J473">
        <f t="shared" si="31"/>
        <v>9829</v>
      </c>
      <c r="M473" s="5" t="s">
        <v>71</v>
      </c>
      <c r="N473" s="7">
        <v>2998179</v>
      </c>
    </row>
    <row r="474" spans="1:14" x14ac:dyDescent="0.3">
      <c r="A474" s="5" t="s">
        <v>72</v>
      </c>
      <c r="B474" s="6" t="s">
        <v>6</v>
      </c>
      <c r="C474" s="6">
        <v>16466816</v>
      </c>
      <c r="D474" s="6">
        <v>454439</v>
      </c>
      <c r="E474" s="6">
        <v>12338973</v>
      </c>
      <c r="F474" s="6"/>
      <c r="G474" s="7">
        <f t="shared" si="28"/>
        <v>3673404</v>
      </c>
      <c r="H474" s="12">
        <f t="shared" si="29"/>
        <v>2.7597259846712321</v>
      </c>
      <c r="I474" s="12">
        <f t="shared" si="30"/>
        <v>74.932354864474107</v>
      </c>
      <c r="J474">
        <f t="shared" si="31"/>
        <v>4230</v>
      </c>
      <c r="M474" s="5" t="s">
        <v>72</v>
      </c>
      <c r="N474" s="7">
        <v>3673404</v>
      </c>
    </row>
    <row r="475" spans="1:14" x14ac:dyDescent="0.3">
      <c r="A475" s="5" t="s">
        <v>72</v>
      </c>
      <c r="B475" s="6" t="s">
        <v>6</v>
      </c>
      <c r="C475" s="6">
        <v>16493869</v>
      </c>
      <c r="D475" s="6">
        <v>379663</v>
      </c>
      <c r="E475" s="6">
        <v>13935647</v>
      </c>
      <c r="F475" s="6"/>
      <c r="G475" s="7">
        <f t="shared" si="28"/>
        <v>2178559</v>
      </c>
      <c r="H475" s="12">
        <f t="shared" si="29"/>
        <v>2.3018431879142485</v>
      </c>
      <c r="I475" s="12">
        <f t="shared" si="30"/>
        <v>84.48986105079409</v>
      </c>
      <c r="J475">
        <f t="shared" si="31"/>
        <v>27053</v>
      </c>
      <c r="M475" s="5" t="s">
        <v>72</v>
      </c>
      <c r="N475" s="7">
        <v>2178559</v>
      </c>
    </row>
    <row r="476" spans="1:14" x14ac:dyDescent="0.3">
      <c r="A476" s="5" t="s">
        <v>72</v>
      </c>
      <c r="B476" s="6" t="s">
        <v>6</v>
      </c>
      <c r="C476" s="6">
        <v>16534904</v>
      </c>
      <c r="D476" s="6">
        <v>491212</v>
      </c>
      <c r="E476" s="6">
        <v>14862036</v>
      </c>
      <c r="F476" s="6"/>
      <c r="G476" s="7">
        <f t="shared" si="28"/>
        <v>1181656</v>
      </c>
      <c r="H476" s="12">
        <f t="shared" si="29"/>
        <v>2.9707581005610919</v>
      </c>
      <c r="I476" s="12">
        <f t="shared" si="30"/>
        <v>89.882807907442341</v>
      </c>
      <c r="J476">
        <f t="shared" si="31"/>
        <v>41035</v>
      </c>
      <c r="M476" s="5" t="s">
        <v>72</v>
      </c>
      <c r="N476" s="7">
        <v>1181656</v>
      </c>
    </row>
    <row r="477" spans="1:14" x14ac:dyDescent="0.3">
      <c r="A477" s="5" t="s">
        <v>72</v>
      </c>
      <c r="B477" s="6" t="s">
        <v>6</v>
      </c>
      <c r="C477" s="6">
        <v>16557022</v>
      </c>
      <c r="D477" s="6">
        <v>208825</v>
      </c>
      <c r="E477" s="6">
        <v>14790707</v>
      </c>
      <c r="F477" s="6"/>
      <c r="G477" s="7">
        <f t="shared" si="28"/>
        <v>1557490</v>
      </c>
      <c r="H477" s="12">
        <f t="shared" si="29"/>
        <v>1.2612473426682649</v>
      </c>
      <c r="I477" s="12">
        <f t="shared" si="30"/>
        <v>89.331928169208211</v>
      </c>
      <c r="J477">
        <f t="shared" si="31"/>
        <v>22118</v>
      </c>
      <c r="M477" s="5" t="s">
        <v>72</v>
      </c>
      <c r="N477" s="7">
        <v>1557490</v>
      </c>
    </row>
    <row r="478" spans="1:14" x14ac:dyDescent="0.3">
      <c r="A478" s="5" t="s">
        <v>72</v>
      </c>
      <c r="B478" s="6" t="s">
        <v>6</v>
      </c>
      <c r="C478" s="6">
        <v>16575679</v>
      </c>
      <c r="D478" s="6">
        <v>426814</v>
      </c>
      <c r="E478" s="6">
        <v>12518029</v>
      </c>
      <c r="F478" s="6"/>
      <c r="G478" s="7">
        <f t="shared" si="28"/>
        <v>3630836</v>
      </c>
      <c r="H478" s="12">
        <f t="shared" si="29"/>
        <v>2.5749412738989457</v>
      </c>
      <c r="I478" s="12">
        <f t="shared" si="30"/>
        <v>75.520459825507004</v>
      </c>
      <c r="J478">
        <f t="shared" si="31"/>
        <v>18657</v>
      </c>
      <c r="M478" s="5" t="s">
        <v>72</v>
      </c>
      <c r="N478" s="7">
        <v>3630836</v>
      </c>
    </row>
    <row r="479" spans="1:14" x14ac:dyDescent="0.3">
      <c r="A479" s="5" t="s">
        <v>72</v>
      </c>
      <c r="B479" s="6" t="s">
        <v>6</v>
      </c>
      <c r="C479" s="6">
        <v>16600257</v>
      </c>
      <c r="D479" s="6">
        <v>487610</v>
      </c>
      <c r="E479" s="6">
        <v>13739886</v>
      </c>
      <c r="F479" s="6"/>
      <c r="G479" s="7">
        <f t="shared" si="28"/>
        <v>2372761</v>
      </c>
      <c r="H479" s="12">
        <f t="shared" si="29"/>
        <v>2.9373641624945925</v>
      </c>
      <c r="I479" s="12">
        <f t="shared" si="30"/>
        <v>82.769116164888288</v>
      </c>
      <c r="J479">
        <f t="shared" si="31"/>
        <v>24578</v>
      </c>
      <c r="M479" s="5" t="s">
        <v>72</v>
      </c>
      <c r="N479" s="7">
        <v>2372761</v>
      </c>
    </row>
    <row r="480" spans="1:14" x14ac:dyDescent="0.3">
      <c r="A480" s="5" t="s">
        <v>72</v>
      </c>
      <c r="B480" s="6" t="s">
        <v>6</v>
      </c>
      <c r="C480" s="6">
        <v>16646416</v>
      </c>
      <c r="D480" s="6">
        <v>494685</v>
      </c>
      <c r="E480" s="6">
        <v>13159952</v>
      </c>
      <c r="F480" s="6"/>
      <c r="G480" s="7">
        <f t="shared" si="28"/>
        <v>2991779</v>
      </c>
      <c r="H480" s="12">
        <f t="shared" si="29"/>
        <v>2.9717207595917343</v>
      </c>
      <c r="I480" s="12">
        <f t="shared" si="30"/>
        <v>79.055767920253828</v>
      </c>
      <c r="J480">
        <f t="shared" si="31"/>
        <v>46159</v>
      </c>
      <c r="M480" s="5" t="s">
        <v>72</v>
      </c>
      <c r="N480" s="7">
        <v>2991779</v>
      </c>
    </row>
    <row r="481" spans="1:14" x14ac:dyDescent="0.3">
      <c r="A481" s="5" t="s">
        <v>72</v>
      </c>
      <c r="B481" s="6" t="s">
        <v>6</v>
      </c>
      <c r="C481" s="6">
        <v>16665687</v>
      </c>
      <c r="D481" s="6">
        <v>337086</v>
      </c>
      <c r="E481" s="6">
        <v>14821280</v>
      </c>
      <c r="F481" s="6"/>
      <c r="G481" s="7">
        <f t="shared" si="28"/>
        <v>1507321</v>
      </c>
      <c r="H481" s="12">
        <f t="shared" si="29"/>
        <v>2.0226348904788622</v>
      </c>
      <c r="I481" s="12">
        <f t="shared" si="30"/>
        <v>88.932907476301466</v>
      </c>
      <c r="J481">
        <f t="shared" si="31"/>
        <v>19271</v>
      </c>
      <c r="M481" s="5" t="s">
        <v>72</v>
      </c>
      <c r="N481" s="7">
        <v>1507321</v>
      </c>
    </row>
    <row r="482" spans="1:14" x14ac:dyDescent="0.3">
      <c r="A482" s="5" t="s">
        <v>73</v>
      </c>
      <c r="B482" s="6" t="s">
        <v>6</v>
      </c>
      <c r="C482" s="6">
        <v>16678689</v>
      </c>
      <c r="D482" s="6">
        <v>201975</v>
      </c>
      <c r="E482" s="6">
        <v>14450814</v>
      </c>
      <c r="F482" s="6"/>
      <c r="G482" s="7">
        <f t="shared" si="28"/>
        <v>2025900</v>
      </c>
      <c r="H482" s="12">
        <f t="shared" si="29"/>
        <v>1.2109764742300788</v>
      </c>
      <c r="I482" s="12">
        <f t="shared" si="30"/>
        <v>86.642385381728744</v>
      </c>
      <c r="J482">
        <f t="shared" si="31"/>
        <v>13002</v>
      </c>
      <c r="M482" s="5" t="s">
        <v>73</v>
      </c>
      <c r="N482" s="7">
        <v>2025900</v>
      </c>
    </row>
    <row r="483" spans="1:14" x14ac:dyDescent="0.3">
      <c r="A483" s="5" t="s">
        <v>73</v>
      </c>
      <c r="B483" s="6" t="s">
        <v>6</v>
      </c>
      <c r="C483" s="6">
        <v>16709238</v>
      </c>
      <c r="D483" s="6">
        <v>432003</v>
      </c>
      <c r="E483" s="6">
        <v>12705501</v>
      </c>
      <c r="F483" s="6"/>
      <c r="G483" s="7">
        <f t="shared" si="28"/>
        <v>3571734</v>
      </c>
      <c r="H483" s="12">
        <f t="shared" si="29"/>
        <v>2.5854141284001102</v>
      </c>
      <c r="I483" s="12">
        <f t="shared" si="30"/>
        <v>76.038781660779506</v>
      </c>
      <c r="J483">
        <f t="shared" si="31"/>
        <v>30549</v>
      </c>
      <c r="M483" s="5" t="s">
        <v>73</v>
      </c>
      <c r="N483" s="7">
        <v>3571734</v>
      </c>
    </row>
    <row r="484" spans="1:14" x14ac:dyDescent="0.3">
      <c r="A484" s="5" t="s">
        <v>73</v>
      </c>
      <c r="B484" s="6" t="s">
        <v>6</v>
      </c>
      <c r="C484" s="6">
        <v>16741908</v>
      </c>
      <c r="D484" s="6">
        <v>413961</v>
      </c>
      <c r="E484" s="6">
        <v>14223919</v>
      </c>
      <c r="F484" s="6"/>
      <c r="G484" s="7">
        <f t="shared" si="28"/>
        <v>2104028</v>
      </c>
      <c r="H484" s="12">
        <f t="shared" si="29"/>
        <v>2.4726034810369284</v>
      </c>
      <c r="I484" s="12">
        <f t="shared" si="30"/>
        <v>84.95996394198319</v>
      </c>
      <c r="J484">
        <f t="shared" si="31"/>
        <v>32670</v>
      </c>
      <c r="M484" s="5" t="s">
        <v>73</v>
      </c>
      <c r="N484" s="7">
        <v>2104028</v>
      </c>
    </row>
    <row r="485" spans="1:14" x14ac:dyDescent="0.3">
      <c r="A485" s="5" t="s">
        <v>73</v>
      </c>
      <c r="B485" s="6" t="s">
        <v>6</v>
      </c>
      <c r="C485" s="6">
        <v>16787071</v>
      </c>
      <c r="D485" s="6">
        <v>230534</v>
      </c>
      <c r="E485" s="6">
        <v>14952776</v>
      </c>
      <c r="F485" s="6"/>
      <c r="G485" s="7">
        <f t="shared" si="28"/>
        <v>1603761</v>
      </c>
      <c r="H485" s="12">
        <f t="shared" si="29"/>
        <v>1.373283046220511</v>
      </c>
      <c r="I485" s="12">
        <f t="shared" si="30"/>
        <v>89.073168273369433</v>
      </c>
      <c r="J485">
        <f t="shared" si="31"/>
        <v>45163</v>
      </c>
      <c r="M485" s="5" t="s">
        <v>73</v>
      </c>
      <c r="N485" s="7">
        <v>1603761</v>
      </c>
    </row>
    <row r="486" spans="1:14" x14ac:dyDescent="0.3">
      <c r="A486" s="5" t="s">
        <v>73</v>
      </c>
      <c r="B486" s="6" t="s">
        <v>6</v>
      </c>
      <c r="C486" s="6">
        <v>16831809</v>
      </c>
      <c r="D486" s="6">
        <v>267141</v>
      </c>
      <c r="E486" s="6">
        <v>13910833</v>
      </c>
      <c r="F486" s="6"/>
      <c r="G486" s="7">
        <f t="shared" si="28"/>
        <v>2653835</v>
      </c>
      <c r="H486" s="12">
        <f t="shared" si="29"/>
        <v>1.5871199584073226</v>
      </c>
      <c r="I486" s="12">
        <f t="shared" si="30"/>
        <v>82.646095853392822</v>
      </c>
      <c r="J486">
        <f t="shared" si="31"/>
        <v>44738</v>
      </c>
      <c r="M486" s="5" t="s">
        <v>73</v>
      </c>
      <c r="N486" s="7">
        <v>2653835</v>
      </c>
    </row>
    <row r="487" spans="1:14" x14ac:dyDescent="0.3">
      <c r="A487" s="5" t="s">
        <v>73</v>
      </c>
      <c r="B487" s="6" t="s">
        <v>6</v>
      </c>
      <c r="C487" s="6">
        <v>16844368</v>
      </c>
      <c r="D487" s="6">
        <v>420321</v>
      </c>
      <c r="E487" s="6">
        <v>12888708</v>
      </c>
      <c r="F487" s="6"/>
      <c r="G487" s="7">
        <f t="shared" si="28"/>
        <v>3535339</v>
      </c>
      <c r="H487" s="12">
        <f t="shared" si="29"/>
        <v>2.495320691165142</v>
      </c>
      <c r="I487" s="12">
        <f t="shared" si="30"/>
        <v>76.516423768466694</v>
      </c>
      <c r="J487">
        <f t="shared" si="31"/>
        <v>12559</v>
      </c>
      <c r="M487" s="5" t="s">
        <v>73</v>
      </c>
      <c r="N487" s="7">
        <v>3535339</v>
      </c>
    </row>
    <row r="488" spans="1:14" x14ac:dyDescent="0.3">
      <c r="A488" s="5" t="s">
        <v>73</v>
      </c>
      <c r="B488" s="6" t="s">
        <v>6</v>
      </c>
      <c r="C488" s="6">
        <v>16871734</v>
      </c>
      <c r="D488" s="6">
        <v>446167</v>
      </c>
      <c r="E488" s="6">
        <v>13498513</v>
      </c>
      <c r="F488" s="6"/>
      <c r="G488" s="7">
        <f t="shared" si="28"/>
        <v>2927054</v>
      </c>
      <c r="H488" s="12">
        <f t="shared" si="29"/>
        <v>2.6444644041922425</v>
      </c>
      <c r="I488" s="12">
        <f t="shared" si="30"/>
        <v>80.006672698846486</v>
      </c>
      <c r="J488">
        <f t="shared" si="31"/>
        <v>27366</v>
      </c>
      <c r="M488" s="5" t="s">
        <v>73</v>
      </c>
      <c r="N488" s="7">
        <v>2927054</v>
      </c>
    </row>
    <row r="489" spans="1:14" x14ac:dyDescent="0.3">
      <c r="A489" s="5" t="s">
        <v>73</v>
      </c>
      <c r="B489" s="6" t="s">
        <v>6</v>
      </c>
      <c r="C489" s="6">
        <v>16893024</v>
      </c>
      <c r="D489" s="6">
        <v>421311</v>
      </c>
      <c r="E489" s="6">
        <v>13376197</v>
      </c>
      <c r="F489" s="6"/>
      <c r="G489" s="7">
        <f t="shared" si="28"/>
        <v>3095516</v>
      </c>
      <c r="H489" s="12">
        <f t="shared" si="29"/>
        <v>2.4939939705289</v>
      </c>
      <c r="I489" s="12">
        <f t="shared" si="30"/>
        <v>79.181779413798253</v>
      </c>
      <c r="J489">
        <f t="shared" si="31"/>
        <v>21290</v>
      </c>
      <c r="M489" s="5" t="s">
        <v>73</v>
      </c>
      <c r="N489" s="7">
        <v>3095516</v>
      </c>
    </row>
    <row r="490" spans="1:14" x14ac:dyDescent="0.3">
      <c r="A490" s="5" t="s">
        <v>74</v>
      </c>
      <c r="B490" s="6" t="s">
        <v>6</v>
      </c>
      <c r="C490" s="6">
        <v>16898122</v>
      </c>
      <c r="D490" s="6">
        <v>367613</v>
      </c>
      <c r="E490" s="6">
        <v>13717480</v>
      </c>
      <c r="F490" s="6"/>
      <c r="G490" s="7">
        <f t="shared" si="28"/>
        <v>2813029</v>
      </c>
      <c r="H490" s="12">
        <f t="shared" si="29"/>
        <v>2.1754665991877675</v>
      </c>
      <c r="I490" s="12">
        <f t="shared" si="30"/>
        <v>81.177541504316281</v>
      </c>
      <c r="J490">
        <f t="shared" si="31"/>
        <v>5098</v>
      </c>
      <c r="M490" s="5" t="s">
        <v>74</v>
      </c>
      <c r="N490" s="7">
        <v>2813029</v>
      </c>
    </row>
    <row r="491" spans="1:14" x14ac:dyDescent="0.3">
      <c r="A491" s="5" t="s">
        <v>74</v>
      </c>
      <c r="B491" s="6" t="s">
        <v>6</v>
      </c>
      <c r="C491" s="6">
        <v>16947500</v>
      </c>
      <c r="D491" s="6">
        <v>447279</v>
      </c>
      <c r="E491" s="6">
        <v>11975961</v>
      </c>
      <c r="F491" s="6"/>
      <c r="G491" s="7">
        <f t="shared" si="28"/>
        <v>4524260</v>
      </c>
      <c r="H491" s="12">
        <f t="shared" si="29"/>
        <v>2.6392034223336776</v>
      </c>
      <c r="I491" s="12">
        <f t="shared" si="30"/>
        <v>70.665059743324974</v>
      </c>
      <c r="J491">
        <f t="shared" si="31"/>
        <v>49378</v>
      </c>
      <c r="M491" s="5" t="s">
        <v>74</v>
      </c>
      <c r="N491" s="7">
        <v>4524260</v>
      </c>
    </row>
    <row r="492" spans="1:14" x14ac:dyDescent="0.3">
      <c r="A492" s="5" t="s">
        <v>74</v>
      </c>
      <c r="B492" s="6" t="s">
        <v>6</v>
      </c>
      <c r="C492" s="6">
        <v>16958530</v>
      </c>
      <c r="D492" s="6">
        <v>198307</v>
      </c>
      <c r="E492" s="6">
        <v>13148237</v>
      </c>
      <c r="F492" s="6"/>
      <c r="G492" s="7">
        <f t="shared" si="28"/>
        <v>3611986</v>
      </c>
      <c r="H492" s="12">
        <f t="shared" si="29"/>
        <v>1.169364325799465</v>
      </c>
      <c r="I492" s="12">
        <f t="shared" si="30"/>
        <v>77.53170233504909</v>
      </c>
      <c r="J492">
        <f t="shared" si="31"/>
        <v>11030</v>
      </c>
      <c r="M492" s="5" t="s">
        <v>74</v>
      </c>
      <c r="N492" s="7">
        <v>3611986</v>
      </c>
    </row>
    <row r="493" spans="1:14" x14ac:dyDescent="0.3">
      <c r="A493" s="5" t="s">
        <v>74</v>
      </c>
      <c r="B493" s="6" t="s">
        <v>6</v>
      </c>
      <c r="C493" s="6">
        <v>16969097</v>
      </c>
      <c r="D493" s="6">
        <v>332622</v>
      </c>
      <c r="E493" s="6">
        <v>13643257</v>
      </c>
      <c r="F493" s="6"/>
      <c r="G493" s="7">
        <f t="shared" si="28"/>
        <v>2993218</v>
      </c>
      <c r="H493" s="12">
        <f t="shared" si="29"/>
        <v>1.9601632308425134</v>
      </c>
      <c r="I493" s="12">
        <f t="shared" si="30"/>
        <v>80.400607056462704</v>
      </c>
      <c r="J493">
        <f t="shared" si="31"/>
        <v>10567</v>
      </c>
      <c r="M493" s="5" t="s">
        <v>74</v>
      </c>
      <c r="N493" s="7">
        <v>2993218</v>
      </c>
    </row>
    <row r="494" spans="1:14" x14ac:dyDescent="0.3">
      <c r="A494" s="5" t="s">
        <v>74</v>
      </c>
      <c r="B494" s="6" t="s">
        <v>6</v>
      </c>
      <c r="C494" s="6">
        <v>16972394</v>
      </c>
      <c r="D494" s="6">
        <v>408294</v>
      </c>
      <c r="E494" s="6">
        <v>12562962</v>
      </c>
      <c r="F494" s="6"/>
      <c r="G494" s="7">
        <f t="shared" si="28"/>
        <v>4001138</v>
      </c>
      <c r="H494" s="12">
        <f t="shared" si="29"/>
        <v>2.4056358814201464</v>
      </c>
      <c r="I494" s="12">
        <f t="shared" si="30"/>
        <v>74.01997620371057</v>
      </c>
      <c r="J494">
        <f t="shared" si="31"/>
        <v>3297</v>
      </c>
      <c r="M494" s="5" t="s">
        <v>74</v>
      </c>
      <c r="N494" s="7">
        <v>4001138</v>
      </c>
    </row>
    <row r="495" spans="1:14" x14ac:dyDescent="0.3">
      <c r="A495" s="5" t="s">
        <v>74</v>
      </c>
      <c r="B495" s="6" t="s">
        <v>6</v>
      </c>
      <c r="C495" s="6">
        <v>16992621</v>
      </c>
      <c r="D495" s="6">
        <v>366225</v>
      </c>
      <c r="E495" s="6">
        <v>14009586</v>
      </c>
      <c r="F495" s="6"/>
      <c r="G495" s="7">
        <f t="shared" si="28"/>
        <v>2616810</v>
      </c>
      <c r="H495" s="12">
        <f t="shared" si="29"/>
        <v>2.1552001895410955</v>
      </c>
      <c r="I495" s="12">
        <f t="shared" si="30"/>
        <v>82.44511544157902</v>
      </c>
      <c r="J495">
        <f t="shared" si="31"/>
        <v>20227</v>
      </c>
      <c r="M495" s="5" t="s">
        <v>74</v>
      </c>
      <c r="N495" s="7">
        <v>2616810</v>
      </c>
    </row>
    <row r="496" spans="1:14" x14ac:dyDescent="0.3">
      <c r="A496" s="5" t="s">
        <v>74</v>
      </c>
      <c r="B496" s="6" t="s">
        <v>6</v>
      </c>
      <c r="C496" s="6">
        <v>17005220</v>
      </c>
      <c r="D496" s="6">
        <v>220227</v>
      </c>
      <c r="E496" s="6">
        <v>13152868</v>
      </c>
      <c r="F496" s="6"/>
      <c r="G496" s="7">
        <f t="shared" si="28"/>
        <v>3632125</v>
      </c>
      <c r="H496" s="12">
        <f t="shared" si="29"/>
        <v>1.2950552830248594</v>
      </c>
      <c r="I496" s="12">
        <f t="shared" si="30"/>
        <v>77.346061973911546</v>
      </c>
      <c r="J496">
        <f t="shared" si="31"/>
        <v>12599</v>
      </c>
      <c r="M496" s="5" t="s">
        <v>74</v>
      </c>
      <c r="N496" s="7">
        <v>3632125</v>
      </c>
    </row>
    <row r="497" spans="1:14" x14ac:dyDescent="0.3">
      <c r="A497" s="5" t="s">
        <v>74</v>
      </c>
      <c r="B497" s="6" t="s">
        <v>6</v>
      </c>
      <c r="C497" s="6">
        <v>17032364</v>
      </c>
      <c r="D497" s="6">
        <v>331945</v>
      </c>
      <c r="E497" s="6">
        <v>14674244</v>
      </c>
      <c r="F497" s="6"/>
      <c r="G497" s="7">
        <f t="shared" si="28"/>
        <v>2026175</v>
      </c>
      <c r="H497" s="12">
        <f t="shared" si="29"/>
        <v>1.9489073859623947</v>
      </c>
      <c r="I497" s="12">
        <f t="shared" si="30"/>
        <v>86.155063384037589</v>
      </c>
      <c r="J497">
        <f t="shared" si="31"/>
        <v>27144</v>
      </c>
      <c r="M497" s="5" t="s">
        <v>74</v>
      </c>
      <c r="N497" s="7">
        <v>2026175</v>
      </c>
    </row>
    <row r="498" spans="1:14" x14ac:dyDescent="0.3">
      <c r="A498" s="5" t="s">
        <v>75</v>
      </c>
      <c r="B498" s="6" t="s">
        <v>6</v>
      </c>
      <c r="C498" s="6">
        <v>17047900</v>
      </c>
      <c r="D498" s="6">
        <v>308916</v>
      </c>
      <c r="E498" s="6">
        <v>13520374</v>
      </c>
      <c r="F498" s="6"/>
      <c r="G498" s="7">
        <f t="shared" si="28"/>
        <v>3218610</v>
      </c>
      <c r="H498" s="12">
        <f t="shared" si="29"/>
        <v>1.8120472316238363</v>
      </c>
      <c r="I498" s="12">
        <f t="shared" si="30"/>
        <v>79.30814939083406</v>
      </c>
      <c r="J498">
        <f t="shared" si="31"/>
        <v>15536</v>
      </c>
      <c r="M498" s="5" t="s">
        <v>75</v>
      </c>
      <c r="N498" s="7">
        <v>3218610</v>
      </c>
    </row>
    <row r="499" spans="1:14" x14ac:dyDescent="0.3">
      <c r="A499" s="5" t="s">
        <v>75</v>
      </c>
      <c r="B499" s="6" t="s">
        <v>6</v>
      </c>
      <c r="C499" s="6">
        <v>17062829</v>
      </c>
      <c r="D499" s="6">
        <v>437810</v>
      </c>
      <c r="E499" s="6">
        <v>14757492</v>
      </c>
      <c r="F499" s="6"/>
      <c r="G499" s="7">
        <f t="shared" si="28"/>
        <v>1867527</v>
      </c>
      <c r="H499" s="12">
        <f t="shared" si="29"/>
        <v>2.5658699386836732</v>
      </c>
      <c r="I499" s="12">
        <f t="shared" si="30"/>
        <v>86.489127916595777</v>
      </c>
      <c r="J499">
        <f t="shared" si="31"/>
        <v>14929</v>
      </c>
      <c r="M499" s="5" t="s">
        <v>75</v>
      </c>
      <c r="N499" s="7">
        <v>1867527</v>
      </c>
    </row>
    <row r="500" spans="1:14" x14ac:dyDescent="0.3">
      <c r="A500" s="5" t="s">
        <v>75</v>
      </c>
      <c r="B500" s="6" t="s">
        <v>6</v>
      </c>
      <c r="C500" s="6">
        <v>17069539</v>
      </c>
      <c r="D500" s="6">
        <v>210121</v>
      </c>
      <c r="E500" s="6">
        <v>15360340</v>
      </c>
      <c r="F500" s="6"/>
      <c r="G500" s="7">
        <f t="shared" si="28"/>
        <v>1499078</v>
      </c>
      <c r="H500" s="12">
        <f t="shared" si="29"/>
        <v>1.2309705610678765</v>
      </c>
      <c r="I500" s="12">
        <f t="shared" si="30"/>
        <v>89.986847330792003</v>
      </c>
      <c r="J500">
        <f t="shared" si="31"/>
        <v>6710</v>
      </c>
      <c r="M500" s="5" t="s">
        <v>75</v>
      </c>
      <c r="N500" s="7">
        <v>1499078</v>
      </c>
    </row>
    <row r="501" spans="1:14" x14ac:dyDescent="0.3">
      <c r="A501" s="5" t="s">
        <v>75</v>
      </c>
      <c r="B501" s="6" t="s">
        <v>6</v>
      </c>
      <c r="C501" s="6">
        <v>17093627</v>
      </c>
      <c r="D501" s="6">
        <v>374594</v>
      </c>
      <c r="E501" s="6">
        <v>14517787</v>
      </c>
      <c r="F501" s="6"/>
      <c r="G501" s="7">
        <f t="shared" si="28"/>
        <v>2201246</v>
      </c>
      <c r="H501" s="12">
        <f t="shared" si="29"/>
        <v>2.1914249094121452</v>
      </c>
      <c r="I501" s="12">
        <f t="shared" si="30"/>
        <v>84.930992117705614</v>
      </c>
      <c r="J501">
        <f t="shared" si="31"/>
        <v>24088</v>
      </c>
      <c r="M501" s="5" t="s">
        <v>75</v>
      </c>
      <c r="N501" s="7">
        <v>2201246</v>
      </c>
    </row>
    <row r="502" spans="1:14" x14ac:dyDescent="0.3">
      <c r="A502" s="5" t="s">
        <v>75</v>
      </c>
      <c r="B502" s="6" t="s">
        <v>6</v>
      </c>
      <c r="C502" s="6">
        <v>17096312</v>
      </c>
      <c r="D502" s="6">
        <v>445512</v>
      </c>
      <c r="E502" s="6">
        <v>14430676</v>
      </c>
      <c r="F502" s="6"/>
      <c r="G502" s="7">
        <f t="shared" si="28"/>
        <v>2220124</v>
      </c>
      <c r="H502" s="12">
        <f t="shared" si="29"/>
        <v>2.6058953533370239</v>
      </c>
      <c r="I502" s="12">
        <f t="shared" si="30"/>
        <v>84.408122640719242</v>
      </c>
      <c r="J502">
        <f t="shared" si="31"/>
        <v>2685</v>
      </c>
      <c r="M502" s="5" t="s">
        <v>75</v>
      </c>
      <c r="N502" s="7">
        <v>2220124</v>
      </c>
    </row>
    <row r="503" spans="1:14" x14ac:dyDescent="0.3">
      <c r="A503" s="5" t="s">
        <v>75</v>
      </c>
      <c r="B503" s="6" t="s">
        <v>6</v>
      </c>
      <c r="C503" s="6">
        <v>17099669</v>
      </c>
      <c r="D503" s="6">
        <v>432261</v>
      </c>
      <c r="E503" s="6">
        <v>13257274</v>
      </c>
      <c r="F503" s="6"/>
      <c r="G503" s="7">
        <f t="shared" si="28"/>
        <v>3410134</v>
      </c>
      <c r="H503" s="12">
        <f t="shared" si="29"/>
        <v>2.5278910369551602</v>
      </c>
      <c r="I503" s="12">
        <f t="shared" si="30"/>
        <v>77.529418844306292</v>
      </c>
      <c r="J503">
        <f t="shared" si="31"/>
        <v>3357</v>
      </c>
      <c r="M503" s="5" t="s">
        <v>75</v>
      </c>
      <c r="N503" s="7">
        <v>3410134</v>
      </c>
    </row>
    <row r="504" spans="1:14" x14ac:dyDescent="0.3">
      <c r="A504" s="5" t="s">
        <v>75</v>
      </c>
      <c r="B504" s="6" t="s">
        <v>6</v>
      </c>
      <c r="C504" s="6">
        <v>17136717</v>
      </c>
      <c r="D504" s="6">
        <v>476506</v>
      </c>
      <c r="E504" s="6">
        <v>12567035</v>
      </c>
      <c r="F504" s="6"/>
      <c r="G504" s="7">
        <f t="shared" si="28"/>
        <v>4093176</v>
      </c>
      <c r="H504" s="12">
        <f t="shared" si="29"/>
        <v>2.7806142798530198</v>
      </c>
      <c r="I504" s="12">
        <f t="shared" si="30"/>
        <v>73.333970561572556</v>
      </c>
      <c r="J504">
        <f t="shared" si="31"/>
        <v>37048</v>
      </c>
      <c r="M504" s="5" t="s">
        <v>75</v>
      </c>
      <c r="N504" s="7">
        <v>4093176</v>
      </c>
    </row>
    <row r="505" spans="1:14" x14ac:dyDescent="0.3">
      <c r="A505" s="5" t="s">
        <v>75</v>
      </c>
      <c r="B505" s="6" t="s">
        <v>6</v>
      </c>
      <c r="C505" s="6">
        <v>17176650</v>
      </c>
      <c r="D505" s="6">
        <v>376048</v>
      </c>
      <c r="E505" s="6">
        <v>12179472</v>
      </c>
      <c r="F505" s="6"/>
      <c r="G505" s="7">
        <f t="shared" si="28"/>
        <v>4621130</v>
      </c>
      <c r="H505" s="12">
        <f t="shared" si="29"/>
        <v>2.1892976802810793</v>
      </c>
      <c r="I505" s="12">
        <f t="shared" si="30"/>
        <v>70.90714429181476</v>
      </c>
      <c r="J505">
        <f t="shared" si="31"/>
        <v>39933</v>
      </c>
      <c r="M505" s="5" t="s">
        <v>75</v>
      </c>
      <c r="N505" s="7">
        <v>4621130</v>
      </c>
    </row>
    <row r="506" spans="1:14" x14ac:dyDescent="0.3">
      <c r="A506" s="5" t="s">
        <v>76</v>
      </c>
      <c r="B506" s="6" t="s">
        <v>6</v>
      </c>
      <c r="C506" s="6">
        <v>17205100</v>
      </c>
      <c r="D506" s="6">
        <v>431211</v>
      </c>
      <c r="E506" s="6">
        <v>14541433</v>
      </c>
      <c r="F506" s="6"/>
      <c r="G506" s="7">
        <f t="shared" si="28"/>
        <v>2232456</v>
      </c>
      <c r="H506" s="12">
        <f t="shared" si="29"/>
        <v>2.506297551307461</v>
      </c>
      <c r="I506" s="12">
        <f t="shared" si="30"/>
        <v>84.518154500700376</v>
      </c>
      <c r="J506">
        <f t="shared" si="31"/>
        <v>28450</v>
      </c>
      <c r="M506" s="5" t="s">
        <v>76</v>
      </c>
      <c r="N506" s="7">
        <v>2232456</v>
      </c>
    </row>
    <row r="507" spans="1:14" x14ac:dyDescent="0.3">
      <c r="A507" s="5" t="s">
        <v>76</v>
      </c>
      <c r="B507" s="6" t="s">
        <v>6</v>
      </c>
      <c r="C507" s="6">
        <v>17220977</v>
      </c>
      <c r="D507" s="6">
        <v>493620</v>
      </c>
      <c r="E507" s="6">
        <v>13100819</v>
      </c>
      <c r="F507" s="6"/>
      <c r="G507" s="7">
        <f t="shared" si="28"/>
        <v>3626538</v>
      </c>
      <c r="H507" s="12">
        <f t="shared" si="29"/>
        <v>2.8663878942524574</v>
      </c>
      <c r="I507" s="12">
        <f t="shared" si="30"/>
        <v>76.07477206432597</v>
      </c>
      <c r="J507">
        <f t="shared" si="31"/>
        <v>15877</v>
      </c>
      <c r="M507" s="5" t="s">
        <v>76</v>
      </c>
      <c r="N507" s="7">
        <v>3626538</v>
      </c>
    </row>
    <row r="508" spans="1:14" x14ac:dyDescent="0.3">
      <c r="A508" s="5" t="s">
        <v>76</v>
      </c>
      <c r="B508" s="6" t="s">
        <v>6</v>
      </c>
      <c r="C508" s="6">
        <v>17259495</v>
      </c>
      <c r="D508" s="6">
        <v>414007</v>
      </c>
      <c r="E508" s="6">
        <v>12849322</v>
      </c>
      <c r="F508" s="6"/>
      <c r="G508" s="7">
        <f t="shared" si="28"/>
        <v>3996166</v>
      </c>
      <c r="H508" s="12">
        <f t="shared" si="29"/>
        <v>2.3987202406559405</v>
      </c>
      <c r="I508" s="12">
        <f t="shared" si="30"/>
        <v>74.447844505299827</v>
      </c>
      <c r="J508">
        <f t="shared" si="31"/>
        <v>38518</v>
      </c>
      <c r="M508" s="5" t="s">
        <v>76</v>
      </c>
      <c r="N508" s="7">
        <v>3996166</v>
      </c>
    </row>
    <row r="509" spans="1:14" x14ac:dyDescent="0.3">
      <c r="A509" s="5" t="s">
        <v>76</v>
      </c>
      <c r="B509" s="6" t="s">
        <v>6</v>
      </c>
      <c r="C509" s="6">
        <v>17266176</v>
      </c>
      <c r="D509" s="6">
        <v>456834</v>
      </c>
      <c r="E509" s="6">
        <v>14483995</v>
      </c>
      <c r="F509" s="6"/>
      <c r="G509" s="7">
        <f t="shared" si="28"/>
        <v>2325347</v>
      </c>
      <c r="H509" s="12">
        <f t="shared" si="29"/>
        <v>2.6458319433324435</v>
      </c>
      <c r="I509" s="12">
        <f t="shared" si="30"/>
        <v>83.886524729042492</v>
      </c>
      <c r="J509">
        <f t="shared" si="31"/>
        <v>6681</v>
      </c>
      <c r="M509" s="5" t="s">
        <v>76</v>
      </c>
      <c r="N509" s="7">
        <v>2325347</v>
      </c>
    </row>
    <row r="510" spans="1:14" x14ac:dyDescent="0.3">
      <c r="A510" s="5" t="s">
        <v>76</v>
      </c>
      <c r="B510" s="6" t="s">
        <v>6</v>
      </c>
      <c r="C510" s="6">
        <v>17292292</v>
      </c>
      <c r="D510" s="6">
        <v>410403</v>
      </c>
      <c r="E510" s="6">
        <v>13260109</v>
      </c>
      <c r="F510" s="6"/>
      <c r="G510" s="7">
        <f t="shared" si="28"/>
        <v>3621780</v>
      </c>
      <c r="H510" s="12">
        <f t="shared" si="29"/>
        <v>2.3733291110281969</v>
      </c>
      <c r="I510" s="12">
        <f t="shared" si="30"/>
        <v>76.682194587044904</v>
      </c>
      <c r="J510">
        <f t="shared" si="31"/>
        <v>26116</v>
      </c>
      <c r="M510" s="5" t="s">
        <v>76</v>
      </c>
      <c r="N510" s="7">
        <v>3621780</v>
      </c>
    </row>
    <row r="511" spans="1:14" x14ac:dyDescent="0.3">
      <c r="A511" s="5" t="s">
        <v>76</v>
      </c>
      <c r="B511" s="6" t="s">
        <v>6</v>
      </c>
      <c r="C511" s="6">
        <v>17334652</v>
      </c>
      <c r="D511" s="6">
        <v>449640</v>
      </c>
      <c r="E511" s="6">
        <v>13521236</v>
      </c>
      <c r="F511" s="6"/>
      <c r="G511" s="7">
        <f t="shared" si="28"/>
        <v>3363776</v>
      </c>
      <c r="H511" s="12">
        <f t="shared" si="29"/>
        <v>2.5938795886989832</v>
      </c>
      <c r="I511" s="12">
        <f t="shared" si="30"/>
        <v>78.001196678191178</v>
      </c>
      <c r="J511">
        <f t="shared" si="31"/>
        <v>42360</v>
      </c>
      <c r="M511" s="5" t="s">
        <v>76</v>
      </c>
      <c r="N511" s="7">
        <v>3363776</v>
      </c>
    </row>
    <row r="512" spans="1:14" x14ac:dyDescent="0.3">
      <c r="A512" s="5" t="s">
        <v>76</v>
      </c>
      <c r="B512" s="6" t="s">
        <v>6</v>
      </c>
      <c r="C512" s="6">
        <v>17356925</v>
      </c>
      <c r="D512" s="6">
        <v>383714</v>
      </c>
      <c r="E512" s="6">
        <v>13799194</v>
      </c>
      <c r="F512" s="6"/>
      <c r="G512" s="7">
        <f t="shared" si="28"/>
        <v>3174017</v>
      </c>
      <c r="H512" s="12">
        <f t="shared" si="29"/>
        <v>2.2107256901784158</v>
      </c>
      <c r="I512" s="12">
        <f t="shared" si="30"/>
        <v>79.502527089331778</v>
      </c>
      <c r="J512">
        <f t="shared" si="31"/>
        <v>22273</v>
      </c>
      <c r="M512" s="5" t="s">
        <v>76</v>
      </c>
      <c r="N512" s="7">
        <v>3174017</v>
      </c>
    </row>
    <row r="513" spans="1:14" x14ac:dyDescent="0.3">
      <c r="A513" s="5" t="s">
        <v>76</v>
      </c>
      <c r="B513" s="6" t="s">
        <v>6</v>
      </c>
      <c r="C513" s="6">
        <v>17382396</v>
      </c>
      <c r="D513" s="6">
        <v>264346</v>
      </c>
      <c r="E513" s="6">
        <v>14778507</v>
      </c>
      <c r="F513" s="6"/>
      <c r="G513" s="7">
        <f t="shared" si="28"/>
        <v>2339543</v>
      </c>
      <c r="H513" s="12">
        <f t="shared" si="29"/>
        <v>1.52076848324017</v>
      </c>
      <c r="I513" s="12">
        <f t="shared" si="30"/>
        <v>85.019965026685611</v>
      </c>
      <c r="J513">
        <f t="shared" si="31"/>
        <v>25471</v>
      </c>
      <c r="M513" s="5" t="s">
        <v>76</v>
      </c>
      <c r="N513" s="7">
        <v>2339543</v>
      </c>
    </row>
    <row r="514" spans="1:14" x14ac:dyDescent="0.3">
      <c r="A514" s="5" t="s">
        <v>77</v>
      </c>
      <c r="B514" s="6" t="s">
        <v>6</v>
      </c>
      <c r="C514" s="6">
        <v>17431397</v>
      </c>
      <c r="D514" s="6">
        <v>178549</v>
      </c>
      <c r="E514" s="6">
        <v>14728610</v>
      </c>
      <c r="F514" s="6"/>
      <c r="G514" s="7">
        <f t="shared" si="28"/>
        <v>2524238</v>
      </c>
      <c r="H514" s="12">
        <f t="shared" si="29"/>
        <v>1.0242954136148699</v>
      </c>
      <c r="I514" s="12">
        <f t="shared" si="30"/>
        <v>84.494719499532948</v>
      </c>
      <c r="J514">
        <f t="shared" si="31"/>
        <v>49001</v>
      </c>
      <c r="M514" s="5" t="s">
        <v>77</v>
      </c>
      <c r="N514" s="7">
        <v>2524238</v>
      </c>
    </row>
    <row r="515" spans="1:14" x14ac:dyDescent="0.3">
      <c r="A515" s="5" t="s">
        <v>77</v>
      </c>
      <c r="B515" s="6" t="s">
        <v>6</v>
      </c>
      <c r="C515" s="6">
        <v>17441137</v>
      </c>
      <c r="D515" s="6">
        <v>435084</v>
      </c>
      <c r="E515" s="6">
        <v>13611778</v>
      </c>
      <c r="F515" s="6"/>
      <c r="G515" s="7">
        <f t="shared" ref="G515:G578" si="32" xml:space="preserve"> C515-D515-E515</f>
        <v>3394275</v>
      </c>
      <c r="H515" s="12">
        <f t="shared" ref="H515:H578" si="33">D515/C515*100</f>
        <v>2.4945850720626757</v>
      </c>
      <c r="I515" s="12">
        <f t="shared" ref="I515:I578" si="34">E515/C515*100</f>
        <v>78.044097698447075</v>
      </c>
      <c r="J515">
        <f t="shared" ref="J515:J578" si="35">IF(B515=B514,C515-C514,"")</f>
        <v>9740</v>
      </c>
      <c r="M515" s="5" t="s">
        <v>77</v>
      </c>
      <c r="N515" s="7">
        <v>3394275</v>
      </c>
    </row>
    <row r="516" spans="1:14" x14ac:dyDescent="0.3">
      <c r="A516" s="5" t="s">
        <v>77</v>
      </c>
      <c r="B516" s="6" t="s">
        <v>6</v>
      </c>
      <c r="C516" s="6">
        <v>17470111</v>
      </c>
      <c r="D516" s="6">
        <v>180985</v>
      </c>
      <c r="E516" s="6">
        <v>15051187</v>
      </c>
      <c r="F516" s="6"/>
      <c r="G516" s="7">
        <f t="shared" si="32"/>
        <v>2237939</v>
      </c>
      <c r="H516" s="12">
        <f t="shared" si="33"/>
        <v>1.0359693764968063</v>
      </c>
      <c r="I516" s="12">
        <f t="shared" si="34"/>
        <v>86.153928844527655</v>
      </c>
      <c r="J516">
        <f t="shared" si="35"/>
        <v>28974</v>
      </c>
      <c r="M516" s="5" t="s">
        <v>77</v>
      </c>
      <c r="N516" s="7">
        <v>2237939</v>
      </c>
    </row>
    <row r="517" spans="1:14" x14ac:dyDescent="0.3">
      <c r="A517" s="5" t="s">
        <v>77</v>
      </c>
      <c r="B517" s="6" t="s">
        <v>6</v>
      </c>
      <c r="C517" s="6">
        <v>17497323</v>
      </c>
      <c r="D517" s="6">
        <v>284096</v>
      </c>
      <c r="E517" s="6">
        <v>14845482</v>
      </c>
      <c r="F517" s="6"/>
      <c r="G517" s="7">
        <f t="shared" si="32"/>
        <v>2367745</v>
      </c>
      <c r="H517" s="12">
        <f t="shared" si="33"/>
        <v>1.6236540869709042</v>
      </c>
      <c r="I517" s="12">
        <f t="shared" si="34"/>
        <v>84.844304468746444</v>
      </c>
      <c r="J517">
        <f t="shared" si="35"/>
        <v>27212</v>
      </c>
      <c r="M517" s="5" t="s">
        <v>77</v>
      </c>
      <c r="N517" s="7">
        <v>2367745</v>
      </c>
    </row>
    <row r="518" spans="1:14" x14ac:dyDescent="0.3">
      <c r="A518" s="5" t="s">
        <v>77</v>
      </c>
      <c r="B518" s="6" t="s">
        <v>6</v>
      </c>
      <c r="C518" s="6">
        <v>17529534</v>
      </c>
      <c r="D518" s="6">
        <v>304557</v>
      </c>
      <c r="E518" s="6">
        <v>13800117</v>
      </c>
      <c r="F518" s="6"/>
      <c r="G518" s="7">
        <f t="shared" si="32"/>
        <v>3424860</v>
      </c>
      <c r="H518" s="12">
        <f t="shared" si="33"/>
        <v>1.737393589584298</v>
      </c>
      <c r="I518" s="12">
        <f t="shared" si="34"/>
        <v>78.7249507031961</v>
      </c>
      <c r="J518">
        <f t="shared" si="35"/>
        <v>32211</v>
      </c>
      <c r="M518" s="5" t="s">
        <v>77</v>
      </c>
      <c r="N518" s="7">
        <v>3424860</v>
      </c>
    </row>
    <row r="519" spans="1:14" x14ac:dyDescent="0.3">
      <c r="A519" s="5" t="s">
        <v>77</v>
      </c>
      <c r="B519" s="6" t="s">
        <v>6</v>
      </c>
      <c r="C519" s="6">
        <v>17532062</v>
      </c>
      <c r="D519" s="6">
        <v>403787</v>
      </c>
      <c r="E519" s="6">
        <v>14798107</v>
      </c>
      <c r="F519" s="6"/>
      <c r="G519" s="7">
        <f t="shared" si="32"/>
        <v>2330168</v>
      </c>
      <c r="H519" s="12">
        <f t="shared" si="33"/>
        <v>2.3031346797655634</v>
      </c>
      <c r="I519" s="12">
        <f t="shared" si="34"/>
        <v>84.405970045052314</v>
      </c>
      <c r="J519">
        <f t="shared" si="35"/>
        <v>2528</v>
      </c>
      <c r="M519" s="5" t="s">
        <v>77</v>
      </c>
      <c r="N519" s="7">
        <v>2330168</v>
      </c>
    </row>
    <row r="520" spans="1:14" x14ac:dyDescent="0.3">
      <c r="A520" s="5" t="s">
        <v>77</v>
      </c>
      <c r="B520" s="6" t="s">
        <v>6</v>
      </c>
      <c r="C520" s="6">
        <v>17546637</v>
      </c>
      <c r="D520" s="6">
        <v>415101</v>
      </c>
      <c r="E520" s="6">
        <v>13422354</v>
      </c>
      <c r="F520" s="6"/>
      <c r="G520" s="7">
        <f t="shared" si="32"/>
        <v>3709182</v>
      </c>
      <c r="H520" s="12">
        <f t="shared" si="33"/>
        <v>2.3657011882105956</v>
      </c>
      <c r="I520" s="12">
        <f t="shared" si="34"/>
        <v>76.495307904300986</v>
      </c>
      <c r="J520">
        <f t="shared" si="35"/>
        <v>14575</v>
      </c>
      <c r="M520" s="5" t="s">
        <v>77</v>
      </c>
      <c r="N520" s="7">
        <v>3709182</v>
      </c>
    </row>
    <row r="521" spans="1:14" x14ac:dyDescent="0.3">
      <c r="A521" s="5" t="s">
        <v>77</v>
      </c>
      <c r="B521" s="6" t="s">
        <v>6</v>
      </c>
      <c r="C521" s="6">
        <v>17556141</v>
      </c>
      <c r="D521" s="6">
        <v>299225</v>
      </c>
      <c r="E521" s="6">
        <v>15038039</v>
      </c>
      <c r="F521" s="6"/>
      <c r="G521" s="7">
        <f t="shared" si="32"/>
        <v>2218877</v>
      </c>
      <c r="H521" s="12">
        <f t="shared" si="33"/>
        <v>1.7043893643825259</v>
      </c>
      <c r="I521" s="12">
        <f t="shared" si="34"/>
        <v>85.656859329165798</v>
      </c>
      <c r="J521">
        <f t="shared" si="35"/>
        <v>9504</v>
      </c>
      <c r="M521" s="5" t="s">
        <v>77</v>
      </c>
      <c r="N521" s="7">
        <v>2218877</v>
      </c>
    </row>
    <row r="522" spans="1:14" x14ac:dyDescent="0.3">
      <c r="A522" s="5" t="s">
        <v>78</v>
      </c>
      <c r="B522" s="6" t="s">
        <v>6</v>
      </c>
      <c r="C522" s="6">
        <v>17578334</v>
      </c>
      <c r="D522" s="6">
        <v>511483</v>
      </c>
      <c r="E522" s="6">
        <v>15321472</v>
      </c>
      <c r="F522" s="6"/>
      <c r="G522" s="7">
        <f t="shared" si="32"/>
        <v>1745379</v>
      </c>
      <c r="H522" s="12">
        <f t="shared" si="33"/>
        <v>2.9097353594487396</v>
      </c>
      <c r="I522" s="12">
        <f t="shared" si="34"/>
        <v>87.161115495928115</v>
      </c>
      <c r="J522">
        <f t="shared" si="35"/>
        <v>22193</v>
      </c>
      <c r="M522" s="5" t="s">
        <v>78</v>
      </c>
      <c r="N522" s="7">
        <v>1745379</v>
      </c>
    </row>
    <row r="523" spans="1:14" x14ac:dyDescent="0.3">
      <c r="A523" s="5" t="s">
        <v>78</v>
      </c>
      <c r="B523" s="6" t="s">
        <v>6</v>
      </c>
      <c r="C523" s="6">
        <v>17618804</v>
      </c>
      <c r="D523" s="6">
        <v>288209</v>
      </c>
      <c r="E523" s="6">
        <v>13346372</v>
      </c>
      <c r="F523" s="6"/>
      <c r="G523" s="7">
        <f t="shared" si="32"/>
        <v>3984223</v>
      </c>
      <c r="H523" s="12">
        <f t="shared" si="33"/>
        <v>1.635803429109036</v>
      </c>
      <c r="I523" s="12">
        <f t="shared" si="34"/>
        <v>75.750726326259141</v>
      </c>
      <c r="J523">
        <f t="shared" si="35"/>
        <v>40470</v>
      </c>
      <c r="M523" s="5" t="s">
        <v>78</v>
      </c>
      <c r="N523" s="7">
        <v>3984223</v>
      </c>
    </row>
    <row r="524" spans="1:14" x14ac:dyDescent="0.3">
      <c r="A524" s="5" t="s">
        <v>78</v>
      </c>
      <c r="B524" s="6" t="s">
        <v>6</v>
      </c>
      <c r="C524" s="6">
        <v>17652224</v>
      </c>
      <c r="D524" s="6">
        <v>512052</v>
      </c>
      <c r="E524" s="6">
        <v>14867778</v>
      </c>
      <c r="F524" s="6"/>
      <c r="G524" s="7">
        <f t="shared" si="32"/>
        <v>2272394</v>
      </c>
      <c r="H524" s="12">
        <f t="shared" si="33"/>
        <v>2.9007789613365431</v>
      </c>
      <c r="I524" s="12">
        <f t="shared" si="34"/>
        <v>84.226089585085703</v>
      </c>
      <c r="J524">
        <f t="shared" si="35"/>
        <v>33420</v>
      </c>
      <c r="M524" s="5" t="s">
        <v>78</v>
      </c>
      <c r="N524" s="7">
        <v>2272394</v>
      </c>
    </row>
    <row r="525" spans="1:14" x14ac:dyDescent="0.3">
      <c r="A525" s="5" t="s">
        <v>78</v>
      </c>
      <c r="B525" s="6" t="s">
        <v>6</v>
      </c>
      <c r="C525" s="6">
        <v>17661132</v>
      </c>
      <c r="D525" s="6">
        <v>215947</v>
      </c>
      <c r="E525" s="6">
        <v>12758372</v>
      </c>
      <c r="F525" s="6"/>
      <c r="G525" s="7">
        <f t="shared" si="32"/>
        <v>4686813</v>
      </c>
      <c r="H525" s="12">
        <f t="shared" si="33"/>
        <v>1.2227245682779564</v>
      </c>
      <c r="I525" s="12">
        <f t="shared" si="34"/>
        <v>72.239831512498739</v>
      </c>
      <c r="J525">
        <f t="shared" si="35"/>
        <v>8908</v>
      </c>
      <c r="M525" s="5" t="s">
        <v>78</v>
      </c>
      <c r="N525" s="7">
        <v>4686813</v>
      </c>
    </row>
    <row r="526" spans="1:14" x14ac:dyDescent="0.3">
      <c r="A526" s="5" t="s">
        <v>78</v>
      </c>
      <c r="B526" s="6" t="s">
        <v>6</v>
      </c>
      <c r="C526" s="6">
        <v>17697513</v>
      </c>
      <c r="D526" s="6">
        <v>345041</v>
      </c>
      <c r="E526" s="6">
        <v>13306407</v>
      </c>
      <c r="F526" s="6"/>
      <c r="G526" s="7">
        <f t="shared" si="32"/>
        <v>4046065</v>
      </c>
      <c r="H526" s="12">
        <f t="shared" si="33"/>
        <v>1.9496581242799484</v>
      </c>
      <c r="I526" s="12">
        <f t="shared" si="34"/>
        <v>75.188005229887395</v>
      </c>
      <c r="J526">
        <f t="shared" si="35"/>
        <v>36381</v>
      </c>
      <c r="M526" s="5" t="s">
        <v>78</v>
      </c>
      <c r="N526" s="7">
        <v>4046065</v>
      </c>
    </row>
    <row r="527" spans="1:14" x14ac:dyDescent="0.3">
      <c r="A527" s="5" t="s">
        <v>78</v>
      </c>
      <c r="B527" s="6" t="s">
        <v>6</v>
      </c>
      <c r="C527" s="6">
        <v>17724999</v>
      </c>
      <c r="D527" s="6">
        <v>494693</v>
      </c>
      <c r="E527" s="6">
        <v>13683800</v>
      </c>
      <c r="F527" s="6"/>
      <c r="G527" s="7">
        <f t="shared" si="32"/>
        <v>3546506</v>
      </c>
      <c r="H527" s="12">
        <f t="shared" si="33"/>
        <v>2.7909338669074115</v>
      </c>
      <c r="I527" s="12">
        <f t="shared" si="34"/>
        <v>77.200568530356477</v>
      </c>
      <c r="J527">
        <f t="shared" si="35"/>
        <v>27486</v>
      </c>
      <c r="M527" s="5" t="s">
        <v>78</v>
      </c>
      <c r="N527" s="7">
        <v>3546506</v>
      </c>
    </row>
    <row r="528" spans="1:14" x14ac:dyDescent="0.3">
      <c r="A528" s="5" t="s">
        <v>78</v>
      </c>
      <c r="B528" s="6" t="s">
        <v>6</v>
      </c>
      <c r="C528" s="6">
        <v>17768166</v>
      </c>
      <c r="D528" s="6">
        <v>343242</v>
      </c>
      <c r="E528" s="6">
        <v>15689938</v>
      </c>
      <c r="F528" s="6"/>
      <c r="G528" s="7">
        <f t="shared" si="32"/>
        <v>1734986</v>
      </c>
      <c r="H528" s="12">
        <f t="shared" si="33"/>
        <v>1.9317806913780524</v>
      </c>
      <c r="I528" s="12">
        <f t="shared" si="34"/>
        <v>88.303643718772094</v>
      </c>
      <c r="J528">
        <f t="shared" si="35"/>
        <v>43167</v>
      </c>
      <c r="M528" s="5" t="s">
        <v>78</v>
      </c>
      <c r="N528" s="7">
        <v>1734986</v>
      </c>
    </row>
    <row r="529" spans="1:14" x14ac:dyDescent="0.3">
      <c r="A529" s="5" t="s">
        <v>78</v>
      </c>
      <c r="B529" s="6" t="s">
        <v>6</v>
      </c>
      <c r="C529" s="6">
        <v>17786449</v>
      </c>
      <c r="D529" s="6">
        <v>267085</v>
      </c>
      <c r="E529" s="6">
        <v>13378543</v>
      </c>
      <c r="F529" s="6"/>
      <c r="G529" s="7">
        <f t="shared" si="32"/>
        <v>4140821</v>
      </c>
      <c r="H529" s="12">
        <f t="shared" si="33"/>
        <v>1.5016207001183879</v>
      </c>
      <c r="I529" s="12">
        <f t="shared" si="34"/>
        <v>75.217616512435953</v>
      </c>
      <c r="J529">
        <f t="shared" si="35"/>
        <v>18283</v>
      </c>
      <c r="M529" s="5" t="s">
        <v>78</v>
      </c>
      <c r="N529" s="7">
        <v>4140821</v>
      </c>
    </row>
    <row r="530" spans="1:14" x14ac:dyDescent="0.3">
      <c r="A530" s="5" t="s">
        <v>79</v>
      </c>
      <c r="B530" s="6" t="s">
        <v>6</v>
      </c>
      <c r="C530" s="6">
        <v>17835533</v>
      </c>
      <c r="D530" s="6">
        <v>296863</v>
      </c>
      <c r="E530" s="6">
        <v>15186323</v>
      </c>
      <c r="F530" s="6"/>
      <c r="G530" s="7">
        <f t="shared" si="32"/>
        <v>2352347</v>
      </c>
      <c r="H530" s="12">
        <f t="shared" si="33"/>
        <v>1.6644470339069768</v>
      </c>
      <c r="I530" s="12">
        <f t="shared" si="34"/>
        <v>85.146448945484281</v>
      </c>
      <c r="J530">
        <f t="shared" si="35"/>
        <v>49084</v>
      </c>
      <c r="M530" s="5" t="s">
        <v>79</v>
      </c>
      <c r="N530" s="7">
        <v>2352347</v>
      </c>
    </row>
    <row r="531" spans="1:14" x14ac:dyDescent="0.3">
      <c r="A531" s="5" t="s">
        <v>79</v>
      </c>
      <c r="B531" s="6" t="s">
        <v>6</v>
      </c>
      <c r="C531" s="6">
        <v>17876977</v>
      </c>
      <c r="D531" s="6">
        <v>228292</v>
      </c>
      <c r="E531" s="6">
        <v>14836800</v>
      </c>
      <c r="F531" s="6"/>
      <c r="G531" s="7">
        <f t="shared" si="32"/>
        <v>2811885</v>
      </c>
      <c r="H531" s="12">
        <f t="shared" si="33"/>
        <v>1.2770168021136907</v>
      </c>
      <c r="I531" s="12">
        <f t="shared" si="34"/>
        <v>82.993897681917915</v>
      </c>
      <c r="J531">
        <f t="shared" si="35"/>
        <v>41444</v>
      </c>
      <c r="M531" s="5" t="s">
        <v>79</v>
      </c>
      <c r="N531" s="7">
        <v>2811885</v>
      </c>
    </row>
    <row r="532" spans="1:14" x14ac:dyDescent="0.3">
      <c r="A532" s="5" t="s">
        <v>79</v>
      </c>
      <c r="B532" s="6" t="s">
        <v>6</v>
      </c>
      <c r="C532" s="6">
        <v>17893143</v>
      </c>
      <c r="D532" s="6">
        <v>262707</v>
      </c>
      <c r="E532" s="6">
        <v>13165786</v>
      </c>
      <c r="F532" s="6"/>
      <c r="G532" s="7">
        <f t="shared" si="32"/>
        <v>4464650</v>
      </c>
      <c r="H532" s="12">
        <f t="shared" si="33"/>
        <v>1.4681992984686927</v>
      </c>
      <c r="I532" s="12">
        <f t="shared" si="34"/>
        <v>73.580063603135571</v>
      </c>
      <c r="J532">
        <f t="shared" si="35"/>
        <v>16166</v>
      </c>
      <c r="M532" s="5" t="s">
        <v>79</v>
      </c>
      <c r="N532" s="7">
        <v>4464650</v>
      </c>
    </row>
    <row r="533" spans="1:14" x14ac:dyDescent="0.3">
      <c r="A533" s="5" t="s">
        <v>79</v>
      </c>
      <c r="B533" s="6" t="s">
        <v>6</v>
      </c>
      <c r="C533" s="6">
        <v>17936110</v>
      </c>
      <c r="D533" s="6">
        <v>483122</v>
      </c>
      <c r="E533" s="6">
        <v>13557222</v>
      </c>
      <c r="F533" s="6"/>
      <c r="G533" s="7">
        <f t="shared" si="32"/>
        <v>3895766</v>
      </c>
      <c r="H533" s="12">
        <f t="shared" si="33"/>
        <v>2.6935717945529998</v>
      </c>
      <c r="I533" s="12">
        <f t="shared" si="34"/>
        <v>75.58618897854663</v>
      </c>
      <c r="J533">
        <f t="shared" si="35"/>
        <v>42967</v>
      </c>
      <c r="M533" s="5" t="s">
        <v>79</v>
      </c>
      <c r="N533" s="7">
        <v>3895766</v>
      </c>
    </row>
    <row r="534" spans="1:14" x14ac:dyDescent="0.3">
      <c r="A534" s="5" t="s">
        <v>79</v>
      </c>
      <c r="B534" s="6" t="s">
        <v>6</v>
      </c>
      <c r="C534" s="6">
        <v>17980733</v>
      </c>
      <c r="D534" s="6">
        <v>313777</v>
      </c>
      <c r="E534" s="6">
        <v>15080269</v>
      </c>
      <c r="F534" s="6"/>
      <c r="G534" s="7">
        <f t="shared" si="32"/>
        <v>2586687</v>
      </c>
      <c r="H534" s="12">
        <f t="shared" si="33"/>
        <v>1.7450734628004321</v>
      </c>
      <c r="I534" s="12">
        <f t="shared" si="34"/>
        <v>83.869044715807746</v>
      </c>
      <c r="J534">
        <f t="shared" si="35"/>
        <v>44623</v>
      </c>
      <c r="M534" s="5" t="s">
        <v>79</v>
      </c>
      <c r="N534" s="7">
        <v>2586687</v>
      </c>
    </row>
    <row r="535" spans="1:14" x14ac:dyDescent="0.3">
      <c r="A535" s="5" t="s">
        <v>79</v>
      </c>
      <c r="B535" s="6" t="s">
        <v>6</v>
      </c>
      <c r="C535" s="6">
        <v>18003251</v>
      </c>
      <c r="D535" s="6">
        <v>449371</v>
      </c>
      <c r="E535" s="6">
        <v>13633685</v>
      </c>
      <c r="F535" s="6"/>
      <c r="G535" s="7">
        <f t="shared" si="32"/>
        <v>3920195</v>
      </c>
      <c r="H535" s="12">
        <f t="shared" si="33"/>
        <v>2.4960547403355093</v>
      </c>
      <c r="I535" s="12">
        <f t="shared" si="34"/>
        <v>75.729016942551098</v>
      </c>
      <c r="J535">
        <f t="shared" si="35"/>
        <v>22518</v>
      </c>
      <c r="M535" s="5" t="s">
        <v>79</v>
      </c>
      <c r="N535" s="7">
        <v>3920195</v>
      </c>
    </row>
    <row r="536" spans="1:14" x14ac:dyDescent="0.3">
      <c r="A536" s="5" t="s">
        <v>79</v>
      </c>
      <c r="B536" s="6" t="s">
        <v>6</v>
      </c>
      <c r="C536" s="6">
        <v>18031958</v>
      </c>
      <c r="D536" s="6">
        <v>283997</v>
      </c>
      <c r="E536" s="6">
        <v>14977349</v>
      </c>
      <c r="F536" s="6"/>
      <c r="G536" s="7">
        <f t="shared" si="32"/>
        <v>2770612</v>
      </c>
      <c r="H536" s="12">
        <f t="shared" si="33"/>
        <v>1.5749648485206098</v>
      </c>
      <c r="I536" s="12">
        <f t="shared" si="34"/>
        <v>83.060025982757949</v>
      </c>
      <c r="J536">
        <f t="shared" si="35"/>
        <v>28707</v>
      </c>
      <c r="M536" s="5" t="s">
        <v>79</v>
      </c>
      <c r="N536" s="7">
        <v>2770612</v>
      </c>
    </row>
    <row r="537" spans="1:14" x14ac:dyDescent="0.3">
      <c r="A537" s="5" t="s">
        <v>79</v>
      </c>
      <c r="B537" s="6" t="s">
        <v>6</v>
      </c>
      <c r="C537" s="6">
        <v>18063848</v>
      </c>
      <c r="D537" s="6">
        <v>225978</v>
      </c>
      <c r="E537" s="6">
        <v>14774128</v>
      </c>
      <c r="F537" s="6"/>
      <c r="G537" s="7">
        <f t="shared" si="32"/>
        <v>3063742</v>
      </c>
      <c r="H537" s="12">
        <f t="shared" si="33"/>
        <v>1.2509959118345106</v>
      </c>
      <c r="I537" s="12">
        <f t="shared" si="34"/>
        <v>81.788376430093962</v>
      </c>
      <c r="J537">
        <f t="shared" si="35"/>
        <v>31890</v>
      </c>
      <c r="M537" s="5" t="s">
        <v>79</v>
      </c>
      <c r="N537" s="7">
        <v>3063742</v>
      </c>
    </row>
    <row r="538" spans="1:14" x14ac:dyDescent="0.3">
      <c r="A538" s="5" t="s">
        <v>80</v>
      </c>
      <c r="B538" s="6" t="s">
        <v>6</v>
      </c>
      <c r="C538" s="6">
        <v>18070711</v>
      </c>
      <c r="D538" s="6">
        <v>256831</v>
      </c>
      <c r="E538" s="6">
        <v>15039416</v>
      </c>
      <c r="F538" s="6"/>
      <c r="G538" s="7">
        <f t="shared" si="32"/>
        <v>2774464</v>
      </c>
      <c r="H538" s="12">
        <f t="shared" si="33"/>
        <v>1.4212556440086945</v>
      </c>
      <c r="I538" s="12">
        <f t="shared" si="34"/>
        <v>83.22536949431597</v>
      </c>
      <c r="J538">
        <f t="shared" si="35"/>
        <v>6863</v>
      </c>
      <c r="M538" s="5" t="s">
        <v>80</v>
      </c>
      <c r="N538" s="7">
        <v>2774464</v>
      </c>
    </row>
    <row r="539" spans="1:14" x14ac:dyDescent="0.3">
      <c r="A539" s="5" t="s">
        <v>80</v>
      </c>
      <c r="B539" s="6" t="s">
        <v>6</v>
      </c>
      <c r="C539" s="6">
        <v>18101610</v>
      </c>
      <c r="D539" s="6">
        <v>185546</v>
      </c>
      <c r="E539" s="6">
        <v>14551493</v>
      </c>
      <c r="F539" s="6"/>
      <c r="G539" s="7">
        <f t="shared" si="32"/>
        <v>3364571</v>
      </c>
      <c r="H539" s="12">
        <f t="shared" si="33"/>
        <v>1.0250248458562528</v>
      </c>
      <c r="I539" s="12">
        <f t="shared" si="34"/>
        <v>80.387838429841324</v>
      </c>
      <c r="J539">
        <f t="shared" si="35"/>
        <v>30899</v>
      </c>
      <c r="M539" s="5" t="s">
        <v>80</v>
      </c>
      <c r="N539" s="7">
        <v>3364571</v>
      </c>
    </row>
    <row r="540" spans="1:14" x14ac:dyDescent="0.3">
      <c r="A540" s="5" t="s">
        <v>80</v>
      </c>
      <c r="B540" s="6" t="s">
        <v>6</v>
      </c>
      <c r="C540" s="6">
        <v>18112746</v>
      </c>
      <c r="D540" s="6">
        <v>443142</v>
      </c>
      <c r="E540" s="6">
        <v>15630554</v>
      </c>
      <c r="F540" s="6"/>
      <c r="G540" s="7">
        <f t="shared" si="32"/>
        <v>2039050</v>
      </c>
      <c r="H540" s="12">
        <f t="shared" si="33"/>
        <v>2.4465754668011135</v>
      </c>
      <c r="I540" s="12">
        <f t="shared" si="34"/>
        <v>86.295882468621826</v>
      </c>
      <c r="J540">
        <f t="shared" si="35"/>
        <v>11136</v>
      </c>
      <c r="M540" s="5" t="s">
        <v>80</v>
      </c>
      <c r="N540" s="7">
        <v>2039050</v>
      </c>
    </row>
    <row r="541" spans="1:14" x14ac:dyDescent="0.3">
      <c r="A541" s="5" t="s">
        <v>80</v>
      </c>
      <c r="B541" s="6" t="s">
        <v>6</v>
      </c>
      <c r="C541" s="6">
        <v>18156890</v>
      </c>
      <c r="D541" s="6">
        <v>252065</v>
      </c>
      <c r="E541" s="6">
        <v>13324317</v>
      </c>
      <c r="F541" s="6"/>
      <c r="G541" s="7">
        <f t="shared" si="32"/>
        <v>4580508</v>
      </c>
      <c r="H541" s="12">
        <f t="shared" si="33"/>
        <v>1.3882608750727685</v>
      </c>
      <c r="I541" s="12">
        <f t="shared" si="34"/>
        <v>73.384357122833265</v>
      </c>
      <c r="J541">
        <f t="shared" si="35"/>
        <v>44144</v>
      </c>
      <c r="M541" s="5" t="s">
        <v>80</v>
      </c>
      <c r="N541" s="7">
        <v>4580508</v>
      </c>
    </row>
    <row r="542" spans="1:14" x14ac:dyDescent="0.3">
      <c r="A542" s="5" t="s">
        <v>80</v>
      </c>
      <c r="B542" s="6" t="s">
        <v>6</v>
      </c>
      <c r="C542" s="6">
        <v>18171055</v>
      </c>
      <c r="D542" s="6">
        <v>285200</v>
      </c>
      <c r="E542" s="6">
        <v>15738982</v>
      </c>
      <c r="F542" s="6"/>
      <c r="G542" s="7">
        <f t="shared" si="32"/>
        <v>2146873</v>
      </c>
      <c r="H542" s="12">
        <f t="shared" si="33"/>
        <v>1.5695291220019971</v>
      </c>
      <c r="I542" s="12">
        <f t="shared" si="34"/>
        <v>86.615675314394238</v>
      </c>
      <c r="J542">
        <f t="shared" si="35"/>
        <v>14165</v>
      </c>
      <c r="M542" s="5" t="s">
        <v>80</v>
      </c>
      <c r="N542" s="7">
        <v>2146873</v>
      </c>
    </row>
    <row r="543" spans="1:14" x14ac:dyDescent="0.3">
      <c r="A543" s="5" t="s">
        <v>80</v>
      </c>
      <c r="B543" s="6" t="s">
        <v>6</v>
      </c>
      <c r="C543" s="6">
        <v>18174599</v>
      </c>
      <c r="D543" s="6">
        <v>365746</v>
      </c>
      <c r="E543" s="6">
        <v>13046717</v>
      </c>
      <c r="F543" s="6"/>
      <c r="G543" s="7">
        <f t="shared" si="32"/>
        <v>4762136</v>
      </c>
      <c r="H543" s="12">
        <f t="shared" si="33"/>
        <v>2.0124020342897246</v>
      </c>
      <c r="I543" s="12">
        <f t="shared" si="34"/>
        <v>71.78544627036888</v>
      </c>
      <c r="J543">
        <f t="shared" si="35"/>
        <v>3544</v>
      </c>
      <c r="M543" s="5" t="s">
        <v>80</v>
      </c>
      <c r="N543" s="7">
        <v>4762136</v>
      </c>
    </row>
    <row r="544" spans="1:14" x14ac:dyDescent="0.3">
      <c r="A544" s="5" t="s">
        <v>80</v>
      </c>
      <c r="B544" s="6" t="s">
        <v>6</v>
      </c>
      <c r="C544" s="6">
        <v>18219044</v>
      </c>
      <c r="D544" s="6">
        <v>418781</v>
      </c>
      <c r="E544" s="6">
        <v>15446323</v>
      </c>
      <c r="F544" s="6"/>
      <c r="G544" s="7">
        <f t="shared" si="32"/>
        <v>2353940</v>
      </c>
      <c r="H544" s="12">
        <f t="shared" si="33"/>
        <v>2.298589322249839</v>
      </c>
      <c r="I544" s="12">
        <f t="shared" si="34"/>
        <v>84.781193788214139</v>
      </c>
      <c r="J544">
        <f t="shared" si="35"/>
        <v>44445</v>
      </c>
      <c r="M544" s="5" t="s">
        <v>80</v>
      </c>
      <c r="N544" s="7">
        <v>2353940</v>
      </c>
    </row>
    <row r="545" spans="1:14" x14ac:dyDescent="0.3">
      <c r="A545" s="5" t="s">
        <v>80</v>
      </c>
      <c r="B545" s="6" t="s">
        <v>6</v>
      </c>
      <c r="C545" s="6">
        <v>18233223</v>
      </c>
      <c r="D545" s="6">
        <v>279704</v>
      </c>
      <c r="E545" s="6">
        <v>16336457</v>
      </c>
      <c r="F545" s="6"/>
      <c r="G545" s="7">
        <f t="shared" si="32"/>
        <v>1617062</v>
      </c>
      <c r="H545" s="12">
        <f t="shared" si="33"/>
        <v>1.5340348768838072</v>
      </c>
      <c r="I545" s="12">
        <f t="shared" si="34"/>
        <v>89.597198476648927</v>
      </c>
      <c r="J545">
        <f t="shared" si="35"/>
        <v>14179</v>
      </c>
      <c r="M545" s="5" t="s">
        <v>80</v>
      </c>
      <c r="N545" s="7">
        <v>1617062</v>
      </c>
    </row>
    <row r="546" spans="1:14" x14ac:dyDescent="0.3">
      <c r="A546" s="5" t="s">
        <v>81</v>
      </c>
      <c r="B546" s="6" t="s">
        <v>6</v>
      </c>
      <c r="C546" s="6">
        <v>18236864</v>
      </c>
      <c r="D546" s="6">
        <v>274621</v>
      </c>
      <c r="E546" s="6">
        <v>16184696</v>
      </c>
      <c r="F546" s="6"/>
      <c r="G546" s="7">
        <f t="shared" si="32"/>
        <v>1777547</v>
      </c>
      <c r="H546" s="12">
        <f t="shared" si="33"/>
        <v>1.5058564893613287</v>
      </c>
      <c r="I546" s="12">
        <f t="shared" si="34"/>
        <v>88.747144245852795</v>
      </c>
      <c r="J546">
        <f t="shared" si="35"/>
        <v>3641</v>
      </c>
      <c r="M546" s="5" t="s">
        <v>81</v>
      </c>
      <c r="N546" s="7">
        <v>1777547</v>
      </c>
    </row>
    <row r="547" spans="1:14" x14ac:dyDescent="0.3">
      <c r="A547" s="5" t="s">
        <v>81</v>
      </c>
      <c r="B547" s="6" t="s">
        <v>6</v>
      </c>
      <c r="C547" s="6">
        <v>18284331</v>
      </c>
      <c r="D547" s="6">
        <v>322488</v>
      </c>
      <c r="E547" s="6">
        <v>13209876</v>
      </c>
      <c r="F547" s="6"/>
      <c r="G547" s="7">
        <f t="shared" si="32"/>
        <v>4751967</v>
      </c>
      <c r="H547" s="12">
        <f t="shared" si="33"/>
        <v>1.7637396741505063</v>
      </c>
      <c r="I547" s="12">
        <f t="shared" si="34"/>
        <v>72.246974745753619</v>
      </c>
      <c r="J547">
        <f t="shared" si="35"/>
        <v>47467</v>
      </c>
      <c r="M547" s="5" t="s">
        <v>81</v>
      </c>
      <c r="N547" s="7">
        <v>4751967</v>
      </c>
    </row>
    <row r="548" spans="1:14" x14ac:dyDescent="0.3">
      <c r="A548" s="5" t="s">
        <v>81</v>
      </c>
      <c r="B548" s="6" t="s">
        <v>6</v>
      </c>
      <c r="C548" s="6">
        <v>18287773</v>
      </c>
      <c r="D548" s="6">
        <v>244205</v>
      </c>
      <c r="E548" s="6">
        <v>13082235</v>
      </c>
      <c r="F548" s="6"/>
      <c r="G548" s="7">
        <f t="shared" si="32"/>
        <v>4961333</v>
      </c>
      <c r="H548" s="12">
        <f t="shared" si="33"/>
        <v>1.3353457525965573</v>
      </c>
      <c r="I548" s="12">
        <f t="shared" si="34"/>
        <v>71.535418774062862</v>
      </c>
      <c r="J548">
        <f t="shared" si="35"/>
        <v>3442</v>
      </c>
      <c r="M548" s="5" t="s">
        <v>81</v>
      </c>
      <c r="N548" s="7">
        <v>4961333</v>
      </c>
    </row>
    <row r="549" spans="1:14" x14ac:dyDescent="0.3">
      <c r="A549" s="5" t="s">
        <v>81</v>
      </c>
      <c r="B549" s="6" t="s">
        <v>6</v>
      </c>
      <c r="C549" s="6">
        <v>18297555</v>
      </c>
      <c r="D549" s="6">
        <v>193671</v>
      </c>
      <c r="E549" s="6">
        <v>12936039</v>
      </c>
      <c r="F549" s="6"/>
      <c r="G549" s="7">
        <f t="shared" si="32"/>
        <v>5167845</v>
      </c>
      <c r="H549" s="12">
        <f t="shared" si="33"/>
        <v>1.0584528916568361</v>
      </c>
      <c r="I549" s="12">
        <f t="shared" si="34"/>
        <v>70.698183445821044</v>
      </c>
      <c r="J549">
        <f t="shared" si="35"/>
        <v>9782</v>
      </c>
      <c r="M549" s="5" t="s">
        <v>81</v>
      </c>
      <c r="N549" s="7">
        <v>5167845</v>
      </c>
    </row>
    <row r="550" spans="1:14" x14ac:dyDescent="0.3">
      <c r="A550" s="5" t="s">
        <v>81</v>
      </c>
      <c r="B550" s="6" t="s">
        <v>6</v>
      </c>
      <c r="C550" s="6">
        <v>18325709</v>
      </c>
      <c r="D550" s="6">
        <v>255164</v>
      </c>
      <c r="E550" s="6">
        <v>15372729</v>
      </c>
      <c r="F550" s="6"/>
      <c r="G550" s="7">
        <f t="shared" si="32"/>
        <v>2697816</v>
      </c>
      <c r="H550" s="12">
        <f t="shared" si="33"/>
        <v>1.3923826903504797</v>
      </c>
      <c r="I550" s="12">
        <f t="shared" si="34"/>
        <v>83.886135046671313</v>
      </c>
      <c r="J550">
        <f t="shared" si="35"/>
        <v>28154</v>
      </c>
      <c r="M550" s="5" t="s">
        <v>81</v>
      </c>
      <c r="N550" s="7">
        <v>2697816</v>
      </c>
    </row>
    <row r="551" spans="1:14" x14ac:dyDescent="0.3">
      <c r="A551" s="5" t="s">
        <v>81</v>
      </c>
      <c r="B551" s="6" t="s">
        <v>6</v>
      </c>
      <c r="C551" s="6">
        <v>18345934</v>
      </c>
      <c r="D551" s="6">
        <v>218050</v>
      </c>
      <c r="E551" s="6">
        <v>14020987</v>
      </c>
      <c r="F551" s="6"/>
      <c r="G551" s="7">
        <f t="shared" si="32"/>
        <v>4106897</v>
      </c>
      <c r="H551" s="12">
        <f t="shared" si="33"/>
        <v>1.1885467373860605</v>
      </c>
      <c r="I551" s="12">
        <f t="shared" si="34"/>
        <v>76.425582911178026</v>
      </c>
      <c r="J551">
        <f t="shared" si="35"/>
        <v>20225</v>
      </c>
      <c r="M551" s="5" t="s">
        <v>81</v>
      </c>
      <c r="N551" s="7">
        <v>4106897</v>
      </c>
    </row>
    <row r="552" spans="1:14" x14ac:dyDescent="0.3">
      <c r="A552" s="5" t="s">
        <v>81</v>
      </c>
      <c r="B552" s="6" t="s">
        <v>6</v>
      </c>
      <c r="C552" s="6">
        <v>18361126</v>
      </c>
      <c r="D552" s="6">
        <v>498682</v>
      </c>
      <c r="E552" s="6">
        <v>15147511</v>
      </c>
      <c r="F552" s="6"/>
      <c r="G552" s="7">
        <f t="shared" si="32"/>
        <v>2714933</v>
      </c>
      <c r="H552" s="12">
        <f t="shared" si="33"/>
        <v>2.7159663301695112</v>
      </c>
      <c r="I552" s="12">
        <f t="shared" si="34"/>
        <v>82.497723723479695</v>
      </c>
      <c r="J552">
        <f t="shared" si="35"/>
        <v>15192</v>
      </c>
      <c r="M552" s="5" t="s">
        <v>81</v>
      </c>
      <c r="N552" s="7">
        <v>2714933</v>
      </c>
    </row>
    <row r="553" spans="1:14" x14ac:dyDescent="0.3">
      <c r="A553" s="5" t="s">
        <v>81</v>
      </c>
      <c r="B553" s="6" t="s">
        <v>6</v>
      </c>
      <c r="C553" s="6">
        <v>18377510</v>
      </c>
      <c r="D553" s="6">
        <v>198718</v>
      </c>
      <c r="E553" s="6">
        <v>13439218</v>
      </c>
      <c r="F553" s="6"/>
      <c r="G553" s="7">
        <f t="shared" si="32"/>
        <v>4739574</v>
      </c>
      <c r="H553" s="12">
        <f t="shared" si="33"/>
        <v>1.0813107978175498</v>
      </c>
      <c r="I553" s="12">
        <f t="shared" si="34"/>
        <v>73.128612091627204</v>
      </c>
      <c r="J553">
        <f t="shared" si="35"/>
        <v>16384</v>
      </c>
      <c r="M553" s="5" t="s">
        <v>81</v>
      </c>
      <c r="N553" s="7">
        <v>4739574</v>
      </c>
    </row>
    <row r="554" spans="1:14" x14ac:dyDescent="0.3">
      <c r="A554" s="5" t="s">
        <v>82</v>
      </c>
      <c r="B554" s="6" t="s">
        <v>6</v>
      </c>
      <c r="C554" s="6">
        <v>18408943</v>
      </c>
      <c r="D554" s="6">
        <v>186850</v>
      </c>
      <c r="E554" s="6">
        <v>14919692</v>
      </c>
      <c r="F554" s="6"/>
      <c r="G554" s="7">
        <f t="shared" si="32"/>
        <v>3302401</v>
      </c>
      <c r="H554" s="12">
        <f t="shared" si="33"/>
        <v>1.0149958093737377</v>
      </c>
      <c r="I554" s="12">
        <f t="shared" si="34"/>
        <v>81.045891662546836</v>
      </c>
      <c r="J554">
        <f t="shared" si="35"/>
        <v>31433</v>
      </c>
      <c r="M554" s="5" t="s">
        <v>82</v>
      </c>
      <c r="N554" s="7">
        <v>3302401</v>
      </c>
    </row>
    <row r="555" spans="1:14" x14ac:dyDescent="0.3">
      <c r="A555" s="5" t="s">
        <v>82</v>
      </c>
      <c r="B555" s="6" t="s">
        <v>6</v>
      </c>
      <c r="C555" s="6">
        <v>18430526</v>
      </c>
      <c r="D555" s="6">
        <v>269921</v>
      </c>
      <c r="E555" s="6">
        <v>13725607</v>
      </c>
      <c r="F555" s="6"/>
      <c r="G555" s="7">
        <f t="shared" si="32"/>
        <v>4434998</v>
      </c>
      <c r="H555" s="12">
        <f t="shared" si="33"/>
        <v>1.464532265655359</v>
      </c>
      <c r="I555" s="12">
        <f t="shared" si="34"/>
        <v>74.472139319301036</v>
      </c>
      <c r="J555">
        <f t="shared" si="35"/>
        <v>21583</v>
      </c>
      <c r="M555" s="5" t="s">
        <v>82</v>
      </c>
      <c r="N555" s="7">
        <v>4434998</v>
      </c>
    </row>
    <row r="556" spans="1:14" x14ac:dyDescent="0.3">
      <c r="A556" s="5" t="s">
        <v>82</v>
      </c>
      <c r="B556" s="6" t="s">
        <v>6</v>
      </c>
      <c r="C556" s="6">
        <v>18465516</v>
      </c>
      <c r="D556" s="6">
        <v>413794</v>
      </c>
      <c r="E556" s="6">
        <v>16020570</v>
      </c>
      <c r="F556" s="6"/>
      <c r="G556" s="7">
        <f t="shared" si="32"/>
        <v>2031152</v>
      </c>
      <c r="H556" s="12">
        <f t="shared" si="33"/>
        <v>2.2409013644676921</v>
      </c>
      <c r="I556" s="12">
        <f t="shared" si="34"/>
        <v>86.759395188306669</v>
      </c>
      <c r="J556">
        <f t="shared" si="35"/>
        <v>34990</v>
      </c>
      <c r="M556" s="5" t="s">
        <v>82</v>
      </c>
      <c r="N556" s="7">
        <v>2031152</v>
      </c>
    </row>
    <row r="557" spans="1:14" x14ac:dyDescent="0.3">
      <c r="A557" s="5" t="s">
        <v>82</v>
      </c>
      <c r="B557" s="6" t="s">
        <v>6</v>
      </c>
      <c r="C557" s="6">
        <v>18469195</v>
      </c>
      <c r="D557" s="6">
        <v>376348</v>
      </c>
      <c r="E557" s="6">
        <v>12963242</v>
      </c>
      <c r="F557" s="6"/>
      <c r="G557" s="7">
        <f t="shared" si="32"/>
        <v>5129605</v>
      </c>
      <c r="H557" s="12">
        <f t="shared" si="33"/>
        <v>2.0377065703188473</v>
      </c>
      <c r="I557" s="12">
        <f t="shared" si="34"/>
        <v>70.188451635277019</v>
      </c>
      <c r="J557">
        <f t="shared" si="35"/>
        <v>3679</v>
      </c>
      <c r="M557" s="5" t="s">
        <v>82</v>
      </c>
      <c r="N557" s="7">
        <v>5129605</v>
      </c>
    </row>
    <row r="558" spans="1:14" x14ac:dyDescent="0.3">
      <c r="A558" s="5" t="s">
        <v>82</v>
      </c>
      <c r="B558" s="6" t="s">
        <v>6</v>
      </c>
      <c r="C558" s="6">
        <v>18508578</v>
      </c>
      <c r="D558" s="6">
        <v>500567</v>
      </c>
      <c r="E558" s="6">
        <v>13969603</v>
      </c>
      <c r="F558" s="6"/>
      <c r="G558" s="7">
        <f t="shared" si="32"/>
        <v>4038408</v>
      </c>
      <c r="H558" s="12">
        <f t="shared" si="33"/>
        <v>2.7045135504197026</v>
      </c>
      <c r="I558" s="12">
        <f t="shared" si="34"/>
        <v>75.476371010241849</v>
      </c>
      <c r="J558">
        <f t="shared" si="35"/>
        <v>39383</v>
      </c>
      <c r="M558" s="5" t="s">
        <v>82</v>
      </c>
      <c r="N558" s="7">
        <v>4038408</v>
      </c>
    </row>
    <row r="559" spans="1:14" x14ac:dyDescent="0.3">
      <c r="A559" s="5" t="s">
        <v>82</v>
      </c>
      <c r="B559" s="6" t="s">
        <v>6</v>
      </c>
      <c r="C559" s="6">
        <v>18520621</v>
      </c>
      <c r="D559" s="6">
        <v>449715</v>
      </c>
      <c r="E559" s="6">
        <v>15277970</v>
      </c>
      <c r="F559" s="6"/>
      <c r="G559" s="7">
        <f t="shared" si="32"/>
        <v>2792936</v>
      </c>
      <c r="H559" s="12">
        <f t="shared" si="33"/>
        <v>2.4281853184080595</v>
      </c>
      <c r="I559" s="12">
        <f t="shared" si="34"/>
        <v>82.491672390466817</v>
      </c>
      <c r="J559">
        <f t="shared" si="35"/>
        <v>12043</v>
      </c>
      <c r="M559" s="5" t="s">
        <v>82</v>
      </c>
      <c r="N559" s="7">
        <v>2792936</v>
      </c>
    </row>
    <row r="560" spans="1:14" x14ac:dyDescent="0.3">
      <c r="A560" s="5" t="s">
        <v>82</v>
      </c>
      <c r="B560" s="6" t="s">
        <v>6</v>
      </c>
      <c r="C560" s="6">
        <v>18546338</v>
      </c>
      <c r="D560" s="6">
        <v>251796</v>
      </c>
      <c r="E560" s="6">
        <v>15706530</v>
      </c>
      <c r="F560" s="6"/>
      <c r="G560" s="7">
        <f t="shared" si="32"/>
        <v>2588012</v>
      </c>
      <c r="H560" s="12">
        <f t="shared" si="33"/>
        <v>1.3576588542708539</v>
      </c>
      <c r="I560" s="12">
        <f t="shared" si="34"/>
        <v>84.688039223700116</v>
      </c>
      <c r="J560">
        <f t="shared" si="35"/>
        <v>25717</v>
      </c>
      <c r="M560" s="5" t="s">
        <v>82</v>
      </c>
      <c r="N560" s="7">
        <v>2588012</v>
      </c>
    </row>
    <row r="561" spans="1:14" x14ac:dyDescent="0.3">
      <c r="A561" s="5" t="s">
        <v>82</v>
      </c>
      <c r="B561" s="6" t="s">
        <v>6</v>
      </c>
      <c r="C561" s="6">
        <v>18574919</v>
      </c>
      <c r="D561" s="6">
        <v>238486</v>
      </c>
      <c r="E561" s="6">
        <v>13242043</v>
      </c>
      <c r="F561" s="6"/>
      <c r="G561" s="7">
        <f t="shared" si="32"/>
        <v>5094390</v>
      </c>
      <c r="H561" s="12">
        <f t="shared" si="33"/>
        <v>1.2839140779025739</v>
      </c>
      <c r="I561" s="12">
        <f t="shared" si="34"/>
        <v>71.289909797184038</v>
      </c>
      <c r="J561">
        <f t="shared" si="35"/>
        <v>28581</v>
      </c>
      <c r="M561" s="5" t="s">
        <v>82</v>
      </c>
      <c r="N561" s="7">
        <v>5094390</v>
      </c>
    </row>
    <row r="562" spans="1:14" x14ac:dyDescent="0.3">
      <c r="A562" s="5" t="s">
        <v>83</v>
      </c>
      <c r="B562" s="6" t="s">
        <v>6</v>
      </c>
      <c r="C562" s="6">
        <v>18599047</v>
      </c>
      <c r="D562" s="6">
        <v>543365</v>
      </c>
      <c r="E562" s="6">
        <v>15773887</v>
      </c>
      <c r="F562" s="6"/>
      <c r="G562" s="7">
        <f t="shared" si="32"/>
        <v>2281795</v>
      </c>
      <c r="H562" s="12">
        <f t="shared" si="33"/>
        <v>2.9214668902121708</v>
      </c>
      <c r="I562" s="12">
        <f t="shared" si="34"/>
        <v>84.810189468309858</v>
      </c>
      <c r="J562">
        <f t="shared" si="35"/>
        <v>24128</v>
      </c>
      <c r="M562" s="5" t="s">
        <v>83</v>
      </c>
      <c r="N562" s="7">
        <v>2281795</v>
      </c>
    </row>
    <row r="563" spans="1:14" x14ac:dyDescent="0.3">
      <c r="A563" s="5" t="s">
        <v>83</v>
      </c>
      <c r="B563" s="6" t="s">
        <v>6</v>
      </c>
      <c r="C563" s="6">
        <v>18610852</v>
      </c>
      <c r="D563" s="6">
        <v>456997</v>
      </c>
      <c r="E563" s="6">
        <v>13187272</v>
      </c>
      <c r="F563" s="6"/>
      <c r="G563" s="7">
        <f t="shared" si="32"/>
        <v>4966583</v>
      </c>
      <c r="H563" s="12">
        <f t="shared" si="33"/>
        <v>2.4555404556438365</v>
      </c>
      <c r="I563" s="12">
        <f t="shared" si="34"/>
        <v>70.857970392757935</v>
      </c>
      <c r="J563">
        <f t="shared" si="35"/>
        <v>11805</v>
      </c>
      <c r="M563" s="5" t="s">
        <v>83</v>
      </c>
      <c r="N563" s="7">
        <v>4966583</v>
      </c>
    </row>
    <row r="564" spans="1:14" x14ac:dyDescent="0.3">
      <c r="A564" s="5" t="s">
        <v>83</v>
      </c>
      <c r="B564" s="6" t="s">
        <v>6</v>
      </c>
      <c r="C564" s="6">
        <v>18636599</v>
      </c>
      <c r="D564" s="6">
        <v>287216</v>
      </c>
      <c r="E564" s="6">
        <v>15885084</v>
      </c>
      <c r="F564" s="6"/>
      <c r="G564" s="7">
        <f t="shared" si="32"/>
        <v>2464299</v>
      </c>
      <c r="H564" s="12">
        <f t="shared" si="33"/>
        <v>1.5411395609252525</v>
      </c>
      <c r="I564" s="12">
        <f t="shared" si="34"/>
        <v>85.235959629758625</v>
      </c>
      <c r="J564">
        <f t="shared" si="35"/>
        <v>25747</v>
      </c>
      <c r="M564" s="5" t="s">
        <v>83</v>
      </c>
      <c r="N564" s="7">
        <v>2464299</v>
      </c>
    </row>
    <row r="565" spans="1:14" x14ac:dyDescent="0.3">
      <c r="A565" s="5" t="s">
        <v>83</v>
      </c>
      <c r="B565" s="6" t="s">
        <v>6</v>
      </c>
      <c r="C565" s="6">
        <v>18648391</v>
      </c>
      <c r="D565" s="6">
        <v>195300</v>
      </c>
      <c r="E565" s="6">
        <v>15801426</v>
      </c>
      <c r="F565" s="6"/>
      <c r="G565" s="7">
        <f t="shared" si="32"/>
        <v>2651665</v>
      </c>
      <c r="H565" s="12">
        <f t="shared" si="33"/>
        <v>1.0472753386605849</v>
      </c>
      <c r="I565" s="12">
        <f t="shared" si="34"/>
        <v>84.733455020328563</v>
      </c>
      <c r="J565">
        <f t="shared" si="35"/>
        <v>11792</v>
      </c>
      <c r="M565" s="5" t="s">
        <v>83</v>
      </c>
      <c r="N565" s="7">
        <v>2651665</v>
      </c>
    </row>
    <row r="566" spans="1:14" x14ac:dyDescent="0.3">
      <c r="A566" s="5" t="s">
        <v>83</v>
      </c>
      <c r="B566" s="6" t="s">
        <v>6</v>
      </c>
      <c r="C566" s="6">
        <v>18651149</v>
      </c>
      <c r="D566" s="6">
        <v>267733</v>
      </c>
      <c r="E566" s="6">
        <v>14521563</v>
      </c>
      <c r="F566" s="6"/>
      <c r="G566" s="7">
        <f t="shared" si="32"/>
        <v>3861853</v>
      </c>
      <c r="H566" s="12">
        <f t="shared" si="33"/>
        <v>1.435477245932677</v>
      </c>
      <c r="I566" s="12">
        <f t="shared" si="34"/>
        <v>77.858811808323452</v>
      </c>
      <c r="J566">
        <f t="shared" si="35"/>
        <v>2758</v>
      </c>
      <c r="M566" s="5" t="s">
        <v>83</v>
      </c>
      <c r="N566" s="7">
        <v>3861853</v>
      </c>
    </row>
    <row r="567" spans="1:14" x14ac:dyDescent="0.3">
      <c r="A567" s="5" t="s">
        <v>83</v>
      </c>
      <c r="B567" s="6" t="s">
        <v>6</v>
      </c>
      <c r="C567" s="6">
        <v>18673195</v>
      </c>
      <c r="D567" s="6">
        <v>330699</v>
      </c>
      <c r="E567" s="6">
        <v>16538115</v>
      </c>
      <c r="F567" s="6"/>
      <c r="G567" s="7">
        <f t="shared" si="32"/>
        <v>1804381</v>
      </c>
      <c r="H567" s="12">
        <f t="shared" si="33"/>
        <v>1.7709824162388921</v>
      </c>
      <c r="I567" s="12">
        <f t="shared" si="34"/>
        <v>88.566070241327211</v>
      </c>
      <c r="J567">
        <f t="shared" si="35"/>
        <v>22046</v>
      </c>
      <c r="M567" s="5" t="s">
        <v>83</v>
      </c>
      <c r="N567" s="7">
        <v>1804381</v>
      </c>
    </row>
    <row r="568" spans="1:14" x14ac:dyDescent="0.3">
      <c r="A568" s="5" t="s">
        <v>83</v>
      </c>
      <c r="B568" s="6" t="s">
        <v>6</v>
      </c>
      <c r="C568" s="6">
        <v>18679529</v>
      </c>
      <c r="D568" s="6">
        <v>439675</v>
      </c>
      <c r="E568" s="6">
        <v>16792584</v>
      </c>
      <c r="F568" s="6"/>
      <c r="G568" s="7">
        <f t="shared" si="32"/>
        <v>1447270</v>
      </c>
      <c r="H568" s="12">
        <f t="shared" si="33"/>
        <v>2.3537799052642066</v>
      </c>
      <c r="I568" s="12">
        <f t="shared" si="34"/>
        <v>89.898326665517104</v>
      </c>
      <c r="J568">
        <f t="shared" si="35"/>
        <v>6334</v>
      </c>
      <c r="M568" s="5" t="s">
        <v>83</v>
      </c>
      <c r="N568" s="7">
        <v>1447270</v>
      </c>
    </row>
    <row r="569" spans="1:14" x14ac:dyDescent="0.3">
      <c r="A569" s="5" t="s">
        <v>83</v>
      </c>
      <c r="B569" s="6" t="s">
        <v>6</v>
      </c>
      <c r="C569" s="6">
        <v>18682026</v>
      </c>
      <c r="D569" s="6">
        <v>358558</v>
      </c>
      <c r="E569" s="6">
        <v>15376040</v>
      </c>
      <c r="F569" s="6"/>
      <c r="G569" s="7">
        <f t="shared" si="32"/>
        <v>2947428</v>
      </c>
      <c r="H569" s="12">
        <f t="shared" si="33"/>
        <v>1.9192672143802818</v>
      </c>
      <c r="I569" s="12">
        <f t="shared" si="34"/>
        <v>82.303921426937308</v>
      </c>
      <c r="J569">
        <f t="shared" si="35"/>
        <v>2497</v>
      </c>
      <c r="M569" s="5" t="s">
        <v>83</v>
      </c>
      <c r="N569" s="7">
        <v>2947428</v>
      </c>
    </row>
    <row r="570" spans="1:14" x14ac:dyDescent="0.3">
      <c r="A570" s="5" t="s">
        <v>84</v>
      </c>
      <c r="B570" s="6" t="s">
        <v>6</v>
      </c>
      <c r="C570" s="6">
        <v>18703334</v>
      </c>
      <c r="D570" s="6">
        <v>511189</v>
      </c>
      <c r="E570" s="6">
        <v>15148732</v>
      </c>
      <c r="F570" s="6"/>
      <c r="G570" s="7">
        <f t="shared" si="32"/>
        <v>3043413</v>
      </c>
      <c r="H570" s="12">
        <f t="shared" si="33"/>
        <v>2.7331437272092773</v>
      </c>
      <c r="I570" s="12">
        <f t="shared" si="34"/>
        <v>80.994821564968049</v>
      </c>
      <c r="J570">
        <f t="shared" si="35"/>
        <v>21308</v>
      </c>
      <c r="M570" s="5" t="s">
        <v>84</v>
      </c>
      <c r="N570" s="7">
        <v>3043413</v>
      </c>
    </row>
    <row r="571" spans="1:14" x14ac:dyDescent="0.3">
      <c r="A571" s="5" t="s">
        <v>84</v>
      </c>
      <c r="B571" s="6" t="s">
        <v>6</v>
      </c>
      <c r="C571" s="6">
        <v>18752273</v>
      </c>
      <c r="D571" s="6">
        <v>541942</v>
      </c>
      <c r="E571" s="6">
        <v>14934744</v>
      </c>
      <c r="F571" s="6"/>
      <c r="G571" s="7">
        <f t="shared" si="32"/>
        <v>3275587</v>
      </c>
      <c r="H571" s="12">
        <f t="shared" si="33"/>
        <v>2.8900069874196048</v>
      </c>
      <c r="I571" s="12">
        <f t="shared" si="34"/>
        <v>79.642313227841768</v>
      </c>
      <c r="J571">
        <f t="shared" si="35"/>
        <v>48939</v>
      </c>
      <c r="M571" s="5" t="s">
        <v>84</v>
      </c>
      <c r="N571" s="7">
        <v>3275587</v>
      </c>
    </row>
    <row r="572" spans="1:14" x14ac:dyDescent="0.3">
      <c r="A572" s="5" t="s">
        <v>84</v>
      </c>
      <c r="B572" s="6" t="s">
        <v>6</v>
      </c>
      <c r="C572" s="6">
        <v>18779933</v>
      </c>
      <c r="D572" s="6">
        <v>462014</v>
      </c>
      <c r="E572" s="6">
        <v>13378605</v>
      </c>
      <c r="F572" s="6"/>
      <c r="G572" s="7">
        <f t="shared" si="32"/>
        <v>4939314</v>
      </c>
      <c r="H572" s="12">
        <f t="shared" si="33"/>
        <v>2.46014722203748</v>
      </c>
      <c r="I572" s="12">
        <f t="shared" si="34"/>
        <v>71.238832428209406</v>
      </c>
      <c r="J572">
        <f t="shared" si="35"/>
        <v>27660</v>
      </c>
      <c r="M572" s="5" t="s">
        <v>84</v>
      </c>
      <c r="N572" s="7">
        <v>4939314</v>
      </c>
    </row>
    <row r="573" spans="1:14" x14ac:dyDescent="0.3">
      <c r="A573" s="5" t="s">
        <v>84</v>
      </c>
      <c r="B573" s="6" t="s">
        <v>6</v>
      </c>
      <c r="C573" s="6">
        <v>18823924</v>
      </c>
      <c r="D573" s="6">
        <v>560397</v>
      </c>
      <c r="E573" s="6">
        <v>13362404</v>
      </c>
      <c r="F573" s="6"/>
      <c r="G573" s="7">
        <f t="shared" si="32"/>
        <v>4901123</v>
      </c>
      <c r="H573" s="12">
        <f t="shared" si="33"/>
        <v>2.9770466561594704</v>
      </c>
      <c r="I573" s="12">
        <f t="shared" si="34"/>
        <v>70.986283200038429</v>
      </c>
      <c r="J573">
        <f t="shared" si="35"/>
        <v>43991</v>
      </c>
      <c r="M573" s="5" t="s">
        <v>84</v>
      </c>
      <c r="N573" s="7">
        <v>4901123</v>
      </c>
    </row>
    <row r="574" spans="1:14" x14ac:dyDescent="0.3">
      <c r="A574" s="5" t="s">
        <v>84</v>
      </c>
      <c r="B574" s="6" t="s">
        <v>6</v>
      </c>
      <c r="C574" s="6">
        <v>18832229</v>
      </c>
      <c r="D574" s="6">
        <v>546200</v>
      </c>
      <c r="E574" s="6">
        <v>13664220</v>
      </c>
      <c r="F574" s="6"/>
      <c r="G574" s="7">
        <f t="shared" si="32"/>
        <v>4621809</v>
      </c>
      <c r="H574" s="12">
        <f t="shared" si="33"/>
        <v>2.9003470592886273</v>
      </c>
      <c r="I574" s="12">
        <f t="shared" si="34"/>
        <v>72.557635105223071</v>
      </c>
      <c r="J574">
        <f t="shared" si="35"/>
        <v>8305</v>
      </c>
      <c r="M574" s="5" t="s">
        <v>84</v>
      </c>
      <c r="N574" s="7">
        <v>4621809</v>
      </c>
    </row>
    <row r="575" spans="1:14" x14ac:dyDescent="0.3">
      <c r="A575" s="5" t="s">
        <v>84</v>
      </c>
      <c r="B575" s="6" t="s">
        <v>6</v>
      </c>
      <c r="C575" s="6">
        <v>18876434</v>
      </c>
      <c r="D575" s="6">
        <v>472697</v>
      </c>
      <c r="E575" s="6">
        <v>16284790</v>
      </c>
      <c r="F575" s="6"/>
      <c r="G575" s="7">
        <f t="shared" si="32"/>
        <v>2118947</v>
      </c>
      <c r="H575" s="12">
        <f t="shared" si="33"/>
        <v>2.504164716704437</v>
      </c>
      <c r="I575" s="12">
        <f t="shared" si="34"/>
        <v>86.270478841501529</v>
      </c>
      <c r="J575">
        <f t="shared" si="35"/>
        <v>44205</v>
      </c>
      <c r="M575" s="5" t="s">
        <v>84</v>
      </c>
      <c r="N575" s="7">
        <v>2118947</v>
      </c>
    </row>
    <row r="576" spans="1:14" x14ac:dyDescent="0.3">
      <c r="A576" s="5" t="s">
        <v>84</v>
      </c>
      <c r="B576" s="6" t="s">
        <v>6</v>
      </c>
      <c r="C576" s="6">
        <v>18908644</v>
      </c>
      <c r="D576" s="6">
        <v>317335</v>
      </c>
      <c r="E576" s="6">
        <v>15576292</v>
      </c>
      <c r="F576" s="6"/>
      <c r="G576" s="7">
        <f t="shared" si="32"/>
        <v>3015017</v>
      </c>
      <c r="H576" s="12">
        <f t="shared" si="33"/>
        <v>1.678253607186216</v>
      </c>
      <c r="I576" s="12">
        <f t="shared" si="34"/>
        <v>82.376568092349729</v>
      </c>
      <c r="J576">
        <f t="shared" si="35"/>
        <v>32210</v>
      </c>
      <c r="M576" s="5" t="s">
        <v>84</v>
      </c>
      <c r="N576" s="7">
        <v>3015017</v>
      </c>
    </row>
    <row r="577" spans="1:14" x14ac:dyDescent="0.3">
      <c r="A577" s="5" t="s">
        <v>84</v>
      </c>
      <c r="B577" s="6" t="s">
        <v>6</v>
      </c>
      <c r="C577" s="6">
        <v>18934245</v>
      </c>
      <c r="D577" s="6">
        <v>272839</v>
      </c>
      <c r="E577" s="6">
        <v>15503371</v>
      </c>
      <c r="F577" s="6"/>
      <c r="G577" s="7">
        <f t="shared" si="32"/>
        <v>3158035</v>
      </c>
      <c r="H577" s="12">
        <f t="shared" si="33"/>
        <v>1.4409816710410159</v>
      </c>
      <c r="I577" s="12">
        <f t="shared" si="34"/>
        <v>81.880059120392715</v>
      </c>
      <c r="J577">
        <f t="shared" si="35"/>
        <v>25601</v>
      </c>
      <c r="M577" s="5" t="s">
        <v>84</v>
      </c>
      <c r="N577" s="7">
        <v>3158035</v>
      </c>
    </row>
    <row r="578" spans="1:14" x14ac:dyDescent="0.3">
      <c r="A578" s="5" t="s">
        <v>85</v>
      </c>
      <c r="B578" s="6" t="s">
        <v>6</v>
      </c>
      <c r="C578" s="6">
        <v>18953652</v>
      </c>
      <c r="D578" s="6">
        <v>559616</v>
      </c>
      <c r="E578" s="6">
        <v>13515767</v>
      </c>
      <c r="F578" s="6"/>
      <c r="G578" s="7">
        <f t="shared" si="32"/>
        <v>4878269</v>
      </c>
      <c r="H578" s="12">
        <f t="shared" si="33"/>
        <v>2.9525497249817607</v>
      </c>
      <c r="I578" s="12">
        <f t="shared" si="34"/>
        <v>71.309566093120196</v>
      </c>
      <c r="J578">
        <f t="shared" si="35"/>
        <v>19407</v>
      </c>
      <c r="M578" s="5" t="s">
        <v>85</v>
      </c>
      <c r="N578" s="7">
        <v>4878269</v>
      </c>
    </row>
    <row r="579" spans="1:14" x14ac:dyDescent="0.3">
      <c r="A579" s="5" t="s">
        <v>85</v>
      </c>
      <c r="B579" s="6" t="s">
        <v>6</v>
      </c>
      <c r="C579" s="6">
        <v>18963931</v>
      </c>
      <c r="D579" s="6">
        <v>478159</v>
      </c>
      <c r="E579" s="6">
        <v>16849423</v>
      </c>
      <c r="F579" s="6"/>
      <c r="G579" s="7">
        <f t="shared" ref="G579:G642" si="36" xml:space="preserve"> C579-D579-E579</f>
        <v>1636349</v>
      </c>
      <c r="H579" s="12">
        <f t="shared" ref="H579:H642" si="37">D579/C579*100</f>
        <v>2.5214128863894305</v>
      </c>
      <c r="I579" s="12">
        <f t="shared" ref="I579:I642" si="38">E579/C579*100</f>
        <v>88.849843421176757</v>
      </c>
      <c r="J579">
        <f t="shared" ref="J579:J642" si="39">IF(B579=B578,C579-C578,"")</f>
        <v>10279</v>
      </c>
      <c r="M579" s="5" t="s">
        <v>85</v>
      </c>
      <c r="N579" s="7">
        <v>1636349</v>
      </c>
    </row>
    <row r="580" spans="1:14" x14ac:dyDescent="0.3">
      <c r="A580" s="5" t="s">
        <v>85</v>
      </c>
      <c r="B580" s="6" t="s">
        <v>6</v>
      </c>
      <c r="C580" s="6">
        <v>18976154</v>
      </c>
      <c r="D580" s="6">
        <v>245509</v>
      </c>
      <c r="E580" s="6">
        <v>13661596</v>
      </c>
      <c r="F580" s="6"/>
      <c r="G580" s="7">
        <f t="shared" si="36"/>
        <v>5069049</v>
      </c>
      <c r="H580" s="12">
        <f t="shared" si="37"/>
        <v>1.2937763890406877</v>
      </c>
      <c r="I580" s="12">
        <f t="shared" si="38"/>
        <v>71.993492464279115</v>
      </c>
      <c r="J580">
        <f t="shared" si="39"/>
        <v>12223</v>
      </c>
      <c r="M580" s="5" t="s">
        <v>85</v>
      </c>
      <c r="N580" s="7">
        <v>5069049</v>
      </c>
    </row>
    <row r="581" spans="1:14" x14ac:dyDescent="0.3">
      <c r="A581" s="5" t="s">
        <v>85</v>
      </c>
      <c r="B581" s="6" t="s">
        <v>6</v>
      </c>
      <c r="C581" s="6">
        <v>19003979</v>
      </c>
      <c r="D581" s="6">
        <v>462897</v>
      </c>
      <c r="E581" s="6">
        <v>13945788</v>
      </c>
      <c r="F581" s="6"/>
      <c r="G581" s="7">
        <f t="shared" si="36"/>
        <v>4595294</v>
      </c>
      <c r="H581" s="12">
        <f t="shared" si="37"/>
        <v>2.435789894316343</v>
      </c>
      <c r="I581" s="12">
        <f t="shared" si="38"/>
        <v>73.383516157326838</v>
      </c>
      <c r="J581">
        <f t="shared" si="39"/>
        <v>27825</v>
      </c>
      <c r="M581" s="5" t="s">
        <v>85</v>
      </c>
      <c r="N581" s="7">
        <v>4595294</v>
      </c>
    </row>
    <row r="582" spans="1:14" x14ac:dyDescent="0.3">
      <c r="A582" s="5" t="s">
        <v>85</v>
      </c>
      <c r="B582" s="6" t="s">
        <v>6</v>
      </c>
      <c r="C582" s="6">
        <v>19047695</v>
      </c>
      <c r="D582" s="6">
        <v>256671</v>
      </c>
      <c r="E582" s="6">
        <v>16285177</v>
      </c>
      <c r="F582" s="6"/>
      <c r="G582" s="7">
        <f t="shared" si="36"/>
        <v>2505847</v>
      </c>
      <c r="H582" s="12">
        <f t="shared" si="37"/>
        <v>1.3475173767744602</v>
      </c>
      <c r="I582" s="12">
        <f t="shared" si="38"/>
        <v>85.496838331357154</v>
      </c>
      <c r="J582">
        <f t="shared" si="39"/>
        <v>43716</v>
      </c>
      <c r="M582" s="5" t="s">
        <v>85</v>
      </c>
      <c r="N582" s="7">
        <v>2505847</v>
      </c>
    </row>
    <row r="583" spans="1:14" x14ac:dyDescent="0.3">
      <c r="A583" s="5" t="s">
        <v>85</v>
      </c>
      <c r="B583" s="6" t="s">
        <v>6</v>
      </c>
      <c r="C583" s="6">
        <v>19079459</v>
      </c>
      <c r="D583" s="6">
        <v>572106</v>
      </c>
      <c r="E583" s="6">
        <v>15073018</v>
      </c>
      <c r="F583" s="6"/>
      <c r="G583" s="7">
        <f t="shared" si="36"/>
        <v>3434335</v>
      </c>
      <c r="H583" s="12">
        <f t="shared" si="37"/>
        <v>2.9985441411100808</v>
      </c>
      <c r="I583" s="12">
        <f t="shared" si="38"/>
        <v>79.001286147578924</v>
      </c>
      <c r="J583">
        <f t="shared" si="39"/>
        <v>31764</v>
      </c>
      <c r="M583" s="5" t="s">
        <v>85</v>
      </c>
      <c r="N583" s="7">
        <v>3434335</v>
      </c>
    </row>
    <row r="584" spans="1:14" x14ac:dyDescent="0.3">
      <c r="A584" s="5" t="s">
        <v>85</v>
      </c>
      <c r="B584" s="6" t="s">
        <v>6</v>
      </c>
      <c r="C584" s="6">
        <v>19113395</v>
      </c>
      <c r="D584" s="6">
        <v>496024</v>
      </c>
      <c r="E584" s="6">
        <v>17145909</v>
      </c>
      <c r="F584" s="6"/>
      <c r="G584" s="7">
        <f t="shared" si="36"/>
        <v>1471462</v>
      </c>
      <c r="H584" s="12">
        <f t="shared" si="37"/>
        <v>2.5951642813848612</v>
      </c>
      <c r="I584" s="12">
        <f t="shared" si="38"/>
        <v>89.706245279815548</v>
      </c>
      <c r="J584">
        <f t="shared" si="39"/>
        <v>33936</v>
      </c>
      <c r="M584" s="5" t="s">
        <v>85</v>
      </c>
      <c r="N584" s="7">
        <v>1471462</v>
      </c>
    </row>
    <row r="585" spans="1:14" x14ac:dyDescent="0.3">
      <c r="A585" s="5" t="s">
        <v>85</v>
      </c>
      <c r="B585" s="6" t="s">
        <v>6</v>
      </c>
      <c r="C585" s="6">
        <v>19133142</v>
      </c>
      <c r="D585" s="6">
        <v>459086</v>
      </c>
      <c r="E585" s="6">
        <v>15914196</v>
      </c>
      <c r="F585" s="6"/>
      <c r="G585" s="7">
        <f t="shared" si="36"/>
        <v>2759860</v>
      </c>
      <c r="H585" s="12">
        <f t="shared" si="37"/>
        <v>2.3994281754664235</v>
      </c>
      <c r="I585" s="12">
        <f t="shared" si="38"/>
        <v>83.176072178840258</v>
      </c>
      <c r="J585">
        <f t="shared" si="39"/>
        <v>19747</v>
      </c>
      <c r="M585" s="5" t="s">
        <v>85</v>
      </c>
      <c r="N585" s="7">
        <v>2759860</v>
      </c>
    </row>
    <row r="586" spans="1:14" x14ac:dyDescent="0.3">
      <c r="A586" s="5" t="s">
        <v>86</v>
      </c>
      <c r="B586" s="6" t="s">
        <v>6</v>
      </c>
      <c r="C586" s="6">
        <v>19169080</v>
      </c>
      <c r="D586" s="6">
        <v>426205</v>
      </c>
      <c r="E586" s="6">
        <v>15891277</v>
      </c>
      <c r="F586" s="6"/>
      <c r="G586" s="7">
        <f t="shared" si="36"/>
        <v>2851598</v>
      </c>
      <c r="H586" s="12">
        <f t="shared" si="37"/>
        <v>2.2233983060219895</v>
      </c>
      <c r="I586" s="12">
        <f t="shared" si="38"/>
        <v>82.900572171434419</v>
      </c>
      <c r="J586">
        <f t="shared" si="39"/>
        <v>35938</v>
      </c>
      <c r="M586" s="5" t="s">
        <v>86</v>
      </c>
      <c r="N586" s="7">
        <v>2851598</v>
      </c>
    </row>
    <row r="587" spans="1:14" x14ac:dyDescent="0.3">
      <c r="A587" s="5" t="s">
        <v>86</v>
      </c>
      <c r="B587" s="6" t="s">
        <v>6</v>
      </c>
      <c r="C587" s="6">
        <v>19205587</v>
      </c>
      <c r="D587" s="6">
        <v>394219</v>
      </c>
      <c r="E587" s="6">
        <v>16560472</v>
      </c>
      <c r="F587" s="6"/>
      <c r="G587" s="7">
        <f t="shared" si="36"/>
        <v>2250896</v>
      </c>
      <c r="H587" s="12">
        <f t="shared" si="37"/>
        <v>2.052626665355243</v>
      </c>
      <c r="I587" s="12">
        <f t="shared" si="38"/>
        <v>86.227367067718362</v>
      </c>
      <c r="J587">
        <f t="shared" si="39"/>
        <v>36507</v>
      </c>
      <c r="M587" s="5" t="s">
        <v>86</v>
      </c>
      <c r="N587" s="7">
        <v>2250896</v>
      </c>
    </row>
    <row r="588" spans="1:14" x14ac:dyDescent="0.3">
      <c r="A588" s="5" t="s">
        <v>86</v>
      </c>
      <c r="B588" s="6" t="s">
        <v>6</v>
      </c>
      <c r="C588" s="6">
        <v>19245673</v>
      </c>
      <c r="D588" s="6">
        <v>319423</v>
      </c>
      <c r="E588" s="6">
        <v>13974447</v>
      </c>
      <c r="F588" s="6"/>
      <c r="G588" s="7">
        <f t="shared" si="36"/>
        <v>4951803</v>
      </c>
      <c r="H588" s="12">
        <f t="shared" si="37"/>
        <v>1.6597133288090264</v>
      </c>
      <c r="I588" s="12">
        <f t="shared" si="38"/>
        <v>72.610851280700857</v>
      </c>
      <c r="J588">
        <f t="shared" si="39"/>
        <v>40086</v>
      </c>
      <c r="M588" s="5" t="s">
        <v>86</v>
      </c>
      <c r="N588" s="7">
        <v>4951803</v>
      </c>
    </row>
    <row r="589" spans="1:14" x14ac:dyDescent="0.3">
      <c r="A589" s="5" t="s">
        <v>86</v>
      </c>
      <c r="B589" s="6" t="s">
        <v>6</v>
      </c>
      <c r="C589" s="6">
        <v>19256361</v>
      </c>
      <c r="D589" s="6">
        <v>570944</v>
      </c>
      <c r="E589" s="6">
        <v>16836145</v>
      </c>
      <c r="F589" s="6"/>
      <c r="G589" s="7">
        <f t="shared" si="36"/>
        <v>1849272</v>
      </c>
      <c r="H589" s="12">
        <f t="shared" si="37"/>
        <v>2.9649631101120297</v>
      </c>
      <c r="I589" s="12">
        <f t="shared" si="38"/>
        <v>87.431602471515774</v>
      </c>
      <c r="J589">
        <f t="shared" si="39"/>
        <v>10688</v>
      </c>
      <c r="M589" s="5" t="s">
        <v>86</v>
      </c>
      <c r="N589" s="7">
        <v>1849272</v>
      </c>
    </row>
    <row r="590" spans="1:14" x14ac:dyDescent="0.3">
      <c r="A590" s="5" t="s">
        <v>86</v>
      </c>
      <c r="B590" s="6" t="s">
        <v>6</v>
      </c>
      <c r="C590" s="6">
        <v>19284752</v>
      </c>
      <c r="D590" s="6">
        <v>433198</v>
      </c>
      <c r="E590" s="6">
        <v>14674047</v>
      </c>
      <c r="F590" s="6"/>
      <c r="G590" s="7">
        <f t="shared" si="36"/>
        <v>4177507</v>
      </c>
      <c r="H590" s="12">
        <f t="shared" si="37"/>
        <v>2.2463239350964948</v>
      </c>
      <c r="I590" s="12">
        <f t="shared" si="38"/>
        <v>76.091447792535789</v>
      </c>
      <c r="J590">
        <f t="shared" si="39"/>
        <v>28391</v>
      </c>
      <c r="M590" s="5" t="s">
        <v>86</v>
      </c>
      <c r="N590" s="7">
        <v>4177507</v>
      </c>
    </row>
    <row r="591" spans="1:14" x14ac:dyDescent="0.3">
      <c r="A591" s="5" t="s">
        <v>86</v>
      </c>
      <c r="B591" s="6" t="s">
        <v>6</v>
      </c>
      <c r="C591" s="6">
        <v>19303096</v>
      </c>
      <c r="D591" s="6">
        <v>404152</v>
      </c>
      <c r="E591" s="6">
        <v>16743165</v>
      </c>
      <c r="F591" s="6"/>
      <c r="G591" s="7">
        <f t="shared" si="36"/>
        <v>2155779</v>
      </c>
      <c r="H591" s="12">
        <f t="shared" si="37"/>
        <v>2.0937159510577992</v>
      </c>
      <c r="I591" s="12">
        <f t="shared" si="38"/>
        <v>86.738236187604315</v>
      </c>
      <c r="J591">
        <f t="shared" si="39"/>
        <v>18344</v>
      </c>
      <c r="M591" s="5" t="s">
        <v>86</v>
      </c>
      <c r="N591" s="7">
        <v>2155779</v>
      </c>
    </row>
    <row r="592" spans="1:14" x14ac:dyDescent="0.3">
      <c r="A592" s="5" t="s">
        <v>86</v>
      </c>
      <c r="B592" s="6" t="s">
        <v>6</v>
      </c>
      <c r="C592" s="6">
        <v>19329368</v>
      </c>
      <c r="D592" s="6">
        <v>556749</v>
      </c>
      <c r="E592" s="6">
        <v>15288690</v>
      </c>
      <c r="F592" s="6"/>
      <c r="G592" s="7">
        <f t="shared" si="36"/>
        <v>3483929</v>
      </c>
      <c r="H592" s="12">
        <f t="shared" si="37"/>
        <v>2.8803269718906486</v>
      </c>
      <c r="I592" s="12">
        <f t="shared" si="38"/>
        <v>79.095653825826076</v>
      </c>
      <c r="J592">
        <f t="shared" si="39"/>
        <v>26272</v>
      </c>
      <c r="M592" s="5" t="s">
        <v>86</v>
      </c>
      <c r="N592" s="7">
        <v>3483929</v>
      </c>
    </row>
    <row r="593" spans="1:14" x14ac:dyDescent="0.3">
      <c r="A593" s="5" t="s">
        <v>86</v>
      </c>
      <c r="B593" s="6" t="s">
        <v>6</v>
      </c>
      <c r="C593" s="6">
        <v>19362638</v>
      </c>
      <c r="D593" s="6">
        <v>425505</v>
      </c>
      <c r="E593" s="6">
        <v>15819153</v>
      </c>
      <c r="F593" s="6"/>
      <c r="G593" s="7">
        <f t="shared" si="36"/>
        <v>3117980</v>
      </c>
      <c r="H593" s="12">
        <f t="shared" si="37"/>
        <v>2.1975569651201452</v>
      </c>
      <c r="I593" s="12">
        <f t="shared" si="38"/>
        <v>81.699368650077531</v>
      </c>
      <c r="J593">
        <f t="shared" si="39"/>
        <v>33270</v>
      </c>
      <c r="M593" s="5" t="s">
        <v>86</v>
      </c>
      <c r="N593" s="7">
        <v>3117980</v>
      </c>
    </row>
    <row r="594" spans="1:14" x14ac:dyDescent="0.3">
      <c r="A594" s="5" t="s">
        <v>87</v>
      </c>
      <c r="B594" s="6" t="s">
        <v>6</v>
      </c>
      <c r="C594" s="6">
        <v>19410532</v>
      </c>
      <c r="D594" s="6">
        <v>411106</v>
      </c>
      <c r="E594" s="6">
        <v>13716767</v>
      </c>
      <c r="F594" s="6"/>
      <c r="G594" s="7">
        <f t="shared" si="36"/>
        <v>5282659</v>
      </c>
      <c r="H594" s="12">
        <f t="shared" si="37"/>
        <v>2.1179532843303832</v>
      </c>
      <c r="I594" s="12">
        <f t="shared" si="38"/>
        <v>70.666620574850796</v>
      </c>
      <c r="J594">
        <f t="shared" si="39"/>
        <v>47894</v>
      </c>
      <c r="M594" s="5" t="s">
        <v>87</v>
      </c>
      <c r="N594" s="7">
        <v>5282659</v>
      </c>
    </row>
    <row r="595" spans="1:14" x14ac:dyDescent="0.3">
      <c r="A595" s="5" t="s">
        <v>87</v>
      </c>
      <c r="B595" s="6" t="s">
        <v>6</v>
      </c>
      <c r="C595" s="6">
        <v>19440984</v>
      </c>
      <c r="D595" s="6">
        <v>258043</v>
      </c>
      <c r="E595" s="6">
        <v>13974956</v>
      </c>
      <c r="F595" s="6"/>
      <c r="G595" s="7">
        <f t="shared" si="36"/>
        <v>5207985</v>
      </c>
      <c r="H595" s="12">
        <f t="shared" si="37"/>
        <v>1.3273145021877493</v>
      </c>
      <c r="I595" s="12">
        <f t="shared" si="38"/>
        <v>71.883995172260825</v>
      </c>
      <c r="J595">
        <f t="shared" si="39"/>
        <v>30452</v>
      </c>
      <c r="M595" s="5" t="s">
        <v>87</v>
      </c>
      <c r="N595" s="7">
        <v>5207985</v>
      </c>
    </row>
    <row r="596" spans="1:14" x14ac:dyDescent="0.3">
      <c r="A596" s="5" t="s">
        <v>87</v>
      </c>
      <c r="B596" s="6" t="s">
        <v>6</v>
      </c>
      <c r="C596" s="6">
        <v>19456884</v>
      </c>
      <c r="D596" s="6">
        <v>247857</v>
      </c>
      <c r="E596" s="6">
        <v>14127274</v>
      </c>
      <c r="F596" s="6"/>
      <c r="G596" s="7">
        <f t="shared" si="36"/>
        <v>5081753</v>
      </c>
      <c r="H596" s="12">
        <f t="shared" si="37"/>
        <v>1.2738781811106032</v>
      </c>
      <c r="I596" s="12">
        <f t="shared" si="38"/>
        <v>72.608101071065647</v>
      </c>
      <c r="J596">
        <f t="shared" si="39"/>
        <v>15900</v>
      </c>
      <c r="M596" s="5" t="s">
        <v>87</v>
      </c>
      <c r="N596" s="7">
        <v>5081753</v>
      </c>
    </row>
    <row r="597" spans="1:14" x14ac:dyDescent="0.3">
      <c r="A597" s="5" t="s">
        <v>87</v>
      </c>
      <c r="B597" s="6" t="s">
        <v>6</v>
      </c>
      <c r="C597" s="6">
        <v>19483622</v>
      </c>
      <c r="D597" s="6">
        <v>198658</v>
      </c>
      <c r="E597" s="6">
        <v>14113128</v>
      </c>
      <c r="F597" s="6"/>
      <c r="G597" s="7">
        <f t="shared" si="36"/>
        <v>5171836</v>
      </c>
      <c r="H597" s="12">
        <f t="shared" si="37"/>
        <v>1.0196153466742477</v>
      </c>
      <c r="I597" s="12">
        <f t="shared" si="38"/>
        <v>72.435854072718101</v>
      </c>
      <c r="J597">
        <f t="shared" si="39"/>
        <v>26738</v>
      </c>
      <c r="M597" s="5" t="s">
        <v>87</v>
      </c>
      <c r="N597" s="7">
        <v>5171836</v>
      </c>
    </row>
    <row r="598" spans="1:14" x14ac:dyDescent="0.3">
      <c r="A598" s="5" t="s">
        <v>87</v>
      </c>
      <c r="B598" s="6" t="s">
        <v>6</v>
      </c>
      <c r="C598" s="6">
        <v>19509944</v>
      </c>
      <c r="D598" s="6">
        <v>355748</v>
      </c>
      <c r="E598" s="6">
        <v>15262141</v>
      </c>
      <c r="F598" s="6"/>
      <c r="G598" s="7">
        <f t="shared" si="36"/>
        <v>3892055</v>
      </c>
      <c r="H598" s="12">
        <f t="shared" si="37"/>
        <v>1.823418867834782</v>
      </c>
      <c r="I598" s="12">
        <f t="shared" si="38"/>
        <v>78.22749773141328</v>
      </c>
      <c r="J598">
        <f t="shared" si="39"/>
        <v>26322</v>
      </c>
      <c r="M598" s="5" t="s">
        <v>87</v>
      </c>
      <c r="N598" s="7">
        <v>3892055</v>
      </c>
    </row>
    <row r="599" spans="1:14" x14ac:dyDescent="0.3">
      <c r="A599" s="5" t="s">
        <v>87</v>
      </c>
      <c r="B599" s="6" t="s">
        <v>6</v>
      </c>
      <c r="C599" s="6">
        <v>19558303</v>
      </c>
      <c r="D599" s="6">
        <v>203433</v>
      </c>
      <c r="E599" s="6">
        <v>14650487</v>
      </c>
      <c r="F599" s="6"/>
      <c r="G599" s="7">
        <f t="shared" si="36"/>
        <v>4704383</v>
      </c>
      <c r="H599" s="12">
        <f t="shared" si="37"/>
        <v>1.0401362531299367</v>
      </c>
      <c r="I599" s="12">
        <f t="shared" si="38"/>
        <v>74.906739096945174</v>
      </c>
      <c r="J599">
        <f t="shared" si="39"/>
        <v>48359</v>
      </c>
      <c r="M599" s="5" t="s">
        <v>87</v>
      </c>
      <c r="N599" s="7">
        <v>4704383</v>
      </c>
    </row>
    <row r="600" spans="1:14" x14ac:dyDescent="0.3">
      <c r="A600" s="5" t="s">
        <v>87</v>
      </c>
      <c r="B600" s="6" t="s">
        <v>6</v>
      </c>
      <c r="C600" s="6">
        <v>19575619</v>
      </c>
      <c r="D600" s="6">
        <v>362729</v>
      </c>
      <c r="E600" s="6">
        <v>16952954</v>
      </c>
      <c r="F600" s="6"/>
      <c r="G600" s="7">
        <f t="shared" si="36"/>
        <v>2259936</v>
      </c>
      <c r="H600" s="12">
        <f t="shared" si="37"/>
        <v>1.8529631170283809</v>
      </c>
      <c r="I600" s="12">
        <f t="shared" si="38"/>
        <v>86.602390453144807</v>
      </c>
      <c r="J600">
        <f t="shared" si="39"/>
        <v>17316</v>
      </c>
      <c r="M600" s="5" t="s">
        <v>87</v>
      </c>
      <c r="N600" s="7">
        <v>2259936</v>
      </c>
    </row>
    <row r="601" spans="1:14" x14ac:dyDescent="0.3">
      <c r="A601" s="5" t="s">
        <v>87</v>
      </c>
      <c r="B601" s="6" t="s">
        <v>6</v>
      </c>
      <c r="C601" s="6">
        <v>19590256</v>
      </c>
      <c r="D601" s="6">
        <v>335418</v>
      </c>
      <c r="E601" s="6">
        <v>14053415</v>
      </c>
      <c r="F601" s="6"/>
      <c r="G601" s="7">
        <f t="shared" si="36"/>
        <v>5201423</v>
      </c>
      <c r="H601" s="12">
        <f t="shared" si="37"/>
        <v>1.7121675183826082</v>
      </c>
      <c r="I601" s="12">
        <f t="shared" si="38"/>
        <v>71.736760356781446</v>
      </c>
      <c r="J601">
        <f t="shared" si="39"/>
        <v>14637</v>
      </c>
      <c r="M601" s="5" t="s">
        <v>87</v>
      </c>
      <c r="N601" s="7">
        <v>5201423</v>
      </c>
    </row>
    <row r="602" spans="1:14" x14ac:dyDescent="0.3">
      <c r="A602" s="5" t="s">
        <v>88</v>
      </c>
      <c r="B602" s="6" t="s">
        <v>13</v>
      </c>
      <c r="C602" s="6">
        <v>16467344</v>
      </c>
      <c r="D602" s="6">
        <v>177769</v>
      </c>
      <c r="E602" s="6">
        <v>12397101</v>
      </c>
      <c r="F602" s="6"/>
      <c r="G602" s="7">
        <f t="shared" si="36"/>
        <v>3892474</v>
      </c>
      <c r="H602" s="12">
        <f t="shared" si="37"/>
        <v>1.0795244211817037</v>
      </c>
      <c r="I602" s="12">
        <f t="shared" si="38"/>
        <v>75.282941802879691</v>
      </c>
      <c r="J602" t="str">
        <f t="shared" si="39"/>
        <v/>
      </c>
      <c r="M602" s="5" t="s">
        <v>88</v>
      </c>
      <c r="N602" s="7">
        <v>3892474</v>
      </c>
    </row>
    <row r="603" spans="1:14" x14ac:dyDescent="0.3">
      <c r="A603" s="5" t="s">
        <v>88</v>
      </c>
      <c r="B603" s="6" t="s">
        <v>13</v>
      </c>
      <c r="C603" s="6">
        <v>16515805</v>
      </c>
      <c r="D603" s="6">
        <v>347485</v>
      </c>
      <c r="E603" s="6">
        <v>11603347</v>
      </c>
      <c r="F603" s="6"/>
      <c r="G603" s="7">
        <f t="shared" si="36"/>
        <v>4564973</v>
      </c>
      <c r="H603" s="12">
        <f t="shared" si="37"/>
        <v>2.1039543637140303</v>
      </c>
      <c r="I603" s="12">
        <f t="shared" si="38"/>
        <v>70.256018401767278</v>
      </c>
      <c r="J603">
        <f t="shared" si="39"/>
        <v>48461</v>
      </c>
      <c r="M603" s="5" t="s">
        <v>88</v>
      </c>
      <c r="N603" s="7">
        <v>4564973</v>
      </c>
    </row>
    <row r="604" spans="1:14" x14ac:dyDescent="0.3">
      <c r="A604" s="5" t="s">
        <v>88</v>
      </c>
      <c r="B604" s="6" t="s">
        <v>13</v>
      </c>
      <c r="C604" s="6">
        <v>16563321</v>
      </c>
      <c r="D604" s="6">
        <v>257233</v>
      </c>
      <c r="E604" s="6">
        <v>12510138</v>
      </c>
      <c r="F604" s="6"/>
      <c r="G604" s="7">
        <f t="shared" si="36"/>
        <v>3795950</v>
      </c>
      <c r="H604" s="12">
        <f t="shared" si="37"/>
        <v>1.5530279223592902</v>
      </c>
      <c r="I604" s="12">
        <f t="shared" si="38"/>
        <v>75.529164712801261</v>
      </c>
      <c r="J604">
        <f t="shared" si="39"/>
        <v>47516</v>
      </c>
      <c r="M604" s="5" t="s">
        <v>88</v>
      </c>
      <c r="N604" s="7">
        <v>3795950</v>
      </c>
    </row>
    <row r="605" spans="1:14" x14ac:dyDescent="0.3">
      <c r="A605" s="5" t="s">
        <v>88</v>
      </c>
      <c r="B605" s="6" t="s">
        <v>13</v>
      </c>
      <c r="C605" s="6">
        <v>16565866</v>
      </c>
      <c r="D605" s="6">
        <v>314941</v>
      </c>
      <c r="E605" s="6">
        <v>13243214</v>
      </c>
      <c r="F605" s="6"/>
      <c r="G605" s="7">
        <f t="shared" si="36"/>
        <v>3007711</v>
      </c>
      <c r="H605" s="12">
        <f t="shared" si="37"/>
        <v>1.9011441961440469</v>
      </c>
      <c r="I605" s="12">
        <f t="shared" si="38"/>
        <v>79.942781138034078</v>
      </c>
      <c r="J605">
        <f t="shared" si="39"/>
        <v>2545</v>
      </c>
      <c r="M605" s="5" t="s">
        <v>88</v>
      </c>
      <c r="N605" s="7">
        <v>3007711</v>
      </c>
    </row>
    <row r="606" spans="1:14" x14ac:dyDescent="0.3">
      <c r="A606" s="5" t="s">
        <v>88</v>
      </c>
      <c r="B606" s="6" t="s">
        <v>13</v>
      </c>
      <c r="C606" s="6">
        <v>16593876</v>
      </c>
      <c r="D606" s="6">
        <v>464784</v>
      </c>
      <c r="E606" s="6">
        <v>13486110</v>
      </c>
      <c r="F606" s="6"/>
      <c r="G606" s="7">
        <f t="shared" si="36"/>
        <v>2642982</v>
      </c>
      <c r="H606" s="12">
        <f t="shared" si="37"/>
        <v>2.8009369239591764</v>
      </c>
      <c r="I606" s="12">
        <f t="shared" si="38"/>
        <v>81.271608875467066</v>
      </c>
      <c r="J606">
        <f t="shared" si="39"/>
        <v>28010</v>
      </c>
      <c r="M606" s="5" t="s">
        <v>88</v>
      </c>
      <c r="N606" s="7">
        <v>2642982</v>
      </c>
    </row>
    <row r="607" spans="1:14" x14ac:dyDescent="0.3">
      <c r="A607" s="5" t="s">
        <v>88</v>
      </c>
      <c r="B607" s="6" t="s">
        <v>13</v>
      </c>
      <c r="C607" s="6">
        <v>16603849</v>
      </c>
      <c r="D607" s="6">
        <v>208953</v>
      </c>
      <c r="E607" s="6">
        <v>12841082</v>
      </c>
      <c r="F607" s="6"/>
      <c r="G607" s="7">
        <f t="shared" si="36"/>
        <v>3553814</v>
      </c>
      <c r="H607" s="12">
        <f t="shared" si="37"/>
        <v>1.2584612158301367</v>
      </c>
      <c r="I607" s="12">
        <f t="shared" si="38"/>
        <v>77.337983500090857</v>
      </c>
      <c r="J607">
        <f t="shared" si="39"/>
        <v>9973</v>
      </c>
      <c r="M607" s="5" t="s">
        <v>88</v>
      </c>
      <c r="N607" s="7">
        <v>3553814</v>
      </c>
    </row>
    <row r="608" spans="1:14" x14ac:dyDescent="0.3">
      <c r="A608" s="5" t="s">
        <v>88</v>
      </c>
      <c r="B608" s="6" t="s">
        <v>13</v>
      </c>
      <c r="C608" s="6">
        <v>16652913</v>
      </c>
      <c r="D608" s="6">
        <v>474256</v>
      </c>
      <c r="E608" s="6">
        <v>14024437</v>
      </c>
      <c r="F608" s="6"/>
      <c r="G608" s="7">
        <f t="shared" si="36"/>
        <v>2154220</v>
      </c>
      <c r="H608" s="12">
        <f t="shared" si="37"/>
        <v>2.8478861325943394</v>
      </c>
      <c r="I608" s="12">
        <f t="shared" si="38"/>
        <v>84.21611882557724</v>
      </c>
      <c r="J608">
        <f t="shared" si="39"/>
        <v>49064</v>
      </c>
      <c r="M608" s="5" t="s">
        <v>88</v>
      </c>
      <c r="N608" s="7">
        <v>2154220</v>
      </c>
    </row>
    <row r="609" spans="1:14" x14ac:dyDescent="0.3">
      <c r="A609" s="5" t="s">
        <v>88</v>
      </c>
      <c r="B609" s="6" t="s">
        <v>13</v>
      </c>
      <c r="C609" s="6">
        <v>16696673</v>
      </c>
      <c r="D609" s="6">
        <v>434784</v>
      </c>
      <c r="E609" s="6">
        <v>12933370</v>
      </c>
      <c r="F609" s="6"/>
      <c r="G609" s="7">
        <f t="shared" si="36"/>
        <v>3328519</v>
      </c>
      <c r="H609" s="12">
        <f t="shared" si="37"/>
        <v>2.6040157820662833</v>
      </c>
      <c r="I609" s="12">
        <f t="shared" si="38"/>
        <v>77.460761194760181</v>
      </c>
      <c r="J609">
        <f t="shared" si="39"/>
        <v>43760</v>
      </c>
      <c r="M609" s="5" t="s">
        <v>88</v>
      </c>
      <c r="N609" s="7">
        <v>3328519</v>
      </c>
    </row>
    <row r="610" spans="1:14" x14ac:dyDescent="0.3">
      <c r="A610" s="5" t="s">
        <v>89</v>
      </c>
      <c r="B610" s="6" t="s">
        <v>13</v>
      </c>
      <c r="C610" s="6">
        <v>16734398</v>
      </c>
      <c r="D610" s="6">
        <v>462475</v>
      </c>
      <c r="E610" s="6">
        <v>13827262</v>
      </c>
      <c r="F610" s="6"/>
      <c r="G610" s="7">
        <f t="shared" si="36"/>
        <v>2444661</v>
      </c>
      <c r="H610" s="12">
        <f t="shared" si="37"/>
        <v>2.763618984082965</v>
      </c>
      <c r="I610" s="12">
        <f t="shared" si="38"/>
        <v>82.627782606819807</v>
      </c>
      <c r="J610">
        <f t="shared" si="39"/>
        <v>37725</v>
      </c>
      <c r="M610" s="5" t="s">
        <v>89</v>
      </c>
      <c r="N610" s="7">
        <v>2444661</v>
      </c>
    </row>
    <row r="611" spans="1:14" x14ac:dyDescent="0.3">
      <c r="A611" s="5" t="s">
        <v>89</v>
      </c>
      <c r="B611" s="6" t="s">
        <v>13</v>
      </c>
      <c r="C611" s="6">
        <v>16755217</v>
      </c>
      <c r="D611" s="6">
        <v>337129</v>
      </c>
      <c r="E611" s="6">
        <v>13431017</v>
      </c>
      <c r="F611" s="6"/>
      <c r="G611" s="7">
        <f t="shared" si="36"/>
        <v>2987071</v>
      </c>
      <c r="H611" s="12">
        <f t="shared" si="37"/>
        <v>2.0120837587480964</v>
      </c>
      <c r="I611" s="12">
        <f t="shared" si="38"/>
        <v>80.160209205288126</v>
      </c>
      <c r="J611">
        <f t="shared" si="39"/>
        <v>20819</v>
      </c>
      <c r="M611" s="5" t="s">
        <v>89</v>
      </c>
      <c r="N611" s="7">
        <v>2987071</v>
      </c>
    </row>
    <row r="612" spans="1:14" x14ac:dyDescent="0.3">
      <c r="A612" s="5" t="s">
        <v>89</v>
      </c>
      <c r="B612" s="6" t="s">
        <v>13</v>
      </c>
      <c r="C612" s="6">
        <v>16769809</v>
      </c>
      <c r="D612" s="6">
        <v>316662</v>
      </c>
      <c r="E612" s="6">
        <v>14292684</v>
      </c>
      <c r="F612" s="6"/>
      <c r="G612" s="7">
        <f t="shared" si="36"/>
        <v>2160463</v>
      </c>
      <c r="H612" s="12">
        <f t="shared" si="37"/>
        <v>1.8882862649181036</v>
      </c>
      <c r="I612" s="12">
        <f t="shared" si="38"/>
        <v>85.228663009817225</v>
      </c>
      <c r="J612">
        <f t="shared" si="39"/>
        <v>14592</v>
      </c>
      <c r="M612" s="5" t="s">
        <v>89</v>
      </c>
      <c r="N612" s="7">
        <v>2160463</v>
      </c>
    </row>
    <row r="613" spans="1:14" x14ac:dyDescent="0.3">
      <c r="A613" s="5" t="s">
        <v>89</v>
      </c>
      <c r="B613" s="6" t="s">
        <v>13</v>
      </c>
      <c r="C613" s="6">
        <v>16793132</v>
      </c>
      <c r="D613" s="6">
        <v>488127</v>
      </c>
      <c r="E613" s="6">
        <v>14144631</v>
      </c>
      <c r="F613" s="6"/>
      <c r="G613" s="7">
        <f t="shared" si="36"/>
        <v>2160374</v>
      </c>
      <c r="H613" s="12">
        <f t="shared" si="37"/>
        <v>2.9067061462983794</v>
      </c>
      <c r="I613" s="12">
        <f t="shared" si="38"/>
        <v>84.228665623541815</v>
      </c>
      <c r="J613">
        <f t="shared" si="39"/>
        <v>23323</v>
      </c>
      <c r="M613" s="5" t="s">
        <v>89</v>
      </c>
      <c r="N613" s="7">
        <v>2160374</v>
      </c>
    </row>
    <row r="614" spans="1:14" x14ac:dyDescent="0.3">
      <c r="A614" s="5" t="s">
        <v>89</v>
      </c>
      <c r="B614" s="6" t="s">
        <v>13</v>
      </c>
      <c r="C614" s="6">
        <v>16833211</v>
      </c>
      <c r="D614" s="6">
        <v>319379</v>
      </c>
      <c r="E614" s="6">
        <v>11897653</v>
      </c>
      <c r="F614" s="6"/>
      <c r="G614" s="7">
        <f t="shared" si="36"/>
        <v>4616179</v>
      </c>
      <c r="H614" s="12">
        <f t="shared" si="37"/>
        <v>1.8973147785054201</v>
      </c>
      <c r="I614" s="12">
        <f t="shared" si="38"/>
        <v>70.679640384713295</v>
      </c>
      <c r="J614">
        <f t="shared" si="39"/>
        <v>40079</v>
      </c>
      <c r="M614" s="5" t="s">
        <v>89</v>
      </c>
      <c r="N614" s="7">
        <v>4616179</v>
      </c>
    </row>
    <row r="615" spans="1:14" x14ac:dyDescent="0.3">
      <c r="A615" s="5" t="s">
        <v>89</v>
      </c>
      <c r="B615" s="6" t="s">
        <v>13</v>
      </c>
      <c r="C615" s="6">
        <v>16846597</v>
      </c>
      <c r="D615" s="6">
        <v>467680</v>
      </c>
      <c r="E615" s="6">
        <v>13796191</v>
      </c>
      <c r="F615" s="6"/>
      <c r="G615" s="7">
        <f t="shared" si="36"/>
        <v>2582726</v>
      </c>
      <c r="H615" s="12">
        <f t="shared" si="37"/>
        <v>2.7761096202396249</v>
      </c>
      <c r="I615" s="12">
        <f t="shared" si="38"/>
        <v>81.893043443729312</v>
      </c>
      <c r="J615">
        <f t="shared" si="39"/>
        <v>13386</v>
      </c>
      <c r="M615" s="5" t="s">
        <v>89</v>
      </c>
      <c r="N615" s="7">
        <v>2582726</v>
      </c>
    </row>
    <row r="616" spans="1:14" x14ac:dyDescent="0.3">
      <c r="A616" s="5" t="s">
        <v>89</v>
      </c>
      <c r="B616" s="6" t="s">
        <v>13</v>
      </c>
      <c r="C616" s="6">
        <v>16891642</v>
      </c>
      <c r="D616" s="6">
        <v>271499</v>
      </c>
      <c r="E616" s="6">
        <v>12488233</v>
      </c>
      <c r="F616" s="6"/>
      <c r="G616" s="7">
        <f t="shared" si="36"/>
        <v>4131910</v>
      </c>
      <c r="H616" s="12">
        <f t="shared" si="37"/>
        <v>1.6072978577215882</v>
      </c>
      <c r="I616" s="12">
        <f t="shared" si="38"/>
        <v>73.931433072048293</v>
      </c>
      <c r="J616">
        <f t="shared" si="39"/>
        <v>45045</v>
      </c>
      <c r="M616" s="5" t="s">
        <v>89</v>
      </c>
      <c r="N616" s="7">
        <v>4131910</v>
      </c>
    </row>
    <row r="617" spans="1:14" x14ac:dyDescent="0.3">
      <c r="A617" s="5" t="s">
        <v>89</v>
      </c>
      <c r="B617" s="6" t="s">
        <v>13</v>
      </c>
      <c r="C617" s="6">
        <v>16936869</v>
      </c>
      <c r="D617" s="6">
        <v>487660</v>
      </c>
      <c r="E617" s="6">
        <v>13084304</v>
      </c>
      <c r="F617" s="6"/>
      <c r="G617" s="7">
        <f t="shared" si="36"/>
        <v>3364905</v>
      </c>
      <c r="H617" s="12">
        <f t="shared" si="37"/>
        <v>2.879280698221141</v>
      </c>
      <c r="I617" s="12">
        <f t="shared" si="38"/>
        <v>77.25338136582387</v>
      </c>
      <c r="J617">
        <f t="shared" si="39"/>
        <v>45227</v>
      </c>
      <c r="M617" s="5" t="s">
        <v>89</v>
      </c>
      <c r="N617" s="7">
        <v>3364905</v>
      </c>
    </row>
    <row r="618" spans="1:14" x14ac:dyDescent="0.3">
      <c r="A618" s="5" t="s">
        <v>90</v>
      </c>
      <c r="B618" s="6" t="s">
        <v>13</v>
      </c>
      <c r="C618" s="6">
        <v>16945697</v>
      </c>
      <c r="D618" s="6">
        <v>218736</v>
      </c>
      <c r="E618" s="6">
        <v>14412498</v>
      </c>
      <c r="F618" s="6"/>
      <c r="G618" s="7">
        <f t="shared" si="36"/>
        <v>2314463</v>
      </c>
      <c r="H618" s="12">
        <f t="shared" si="37"/>
        <v>1.2908055655662909</v>
      </c>
      <c r="I618" s="12">
        <f t="shared" si="38"/>
        <v>85.051078158661753</v>
      </c>
      <c r="J618">
        <f t="shared" si="39"/>
        <v>8828</v>
      </c>
      <c r="M618" s="5" t="s">
        <v>90</v>
      </c>
      <c r="N618" s="7">
        <v>2314463</v>
      </c>
    </row>
    <row r="619" spans="1:14" x14ac:dyDescent="0.3">
      <c r="A619" s="5" t="s">
        <v>90</v>
      </c>
      <c r="B619" s="6" t="s">
        <v>13</v>
      </c>
      <c r="C619" s="6">
        <v>16965336</v>
      </c>
      <c r="D619" s="6">
        <v>402125</v>
      </c>
      <c r="E619" s="6">
        <v>15107838</v>
      </c>
      <c r="F619" s="6"/>
      <c r="G619" s="7">
        <f t="shared" si="36"/>
        <v>1455373</v>
      </c>
      <c r="H619" s="12">
        <f t="shared" si="37"/>
        <v>2.3702743052068054</v>
      </c>
      <c r="I619" s="12">
        <f t="shared" si="38"/>
        <v>89.051215961770509</v>
      </c>
      <c r="J619">
        <f t="shared" si="39"/>
        <v>19639</v>
      </c>
      <c r="M619" s="5" t="s">
        <v>90</v>
      </c>
      <c r="N619" s="7">
        <v>1455373</v>
      </c>
    </row>
    <row r="620" spans="1:14" x14ac:dyDescent="0.3">
      <c r="A620" s="5" t="s">
        <v>90</v>
      </c>
      <c r="B620" s="6" t="s">
        <v>13</v>
      </c>
      <c r="C620" s="6">
        <v>17001847</v>
      </c>
      <c r="D620" s="6">
        <v>333091</v>
      </c>
      <c r="E620" s="6">
        <v>13087679</v>
      </c>
      <c r="F620" s="6"/>
      <c r="G620" s="7">
        <f t="shared" si="36"/>
        <v>3581077</v>
      </c>
      <c r="H620" s="12">
        <f t="shared" si="37"/>
        <v>1.9591459680821739</v>
      </c>
      <c r="I620" s="12">
        <f t="shared" si="38"/>
        <v>76.977983627308248</v>
      </c>
      <c r="J620">
        <f t="shared" si="39"/>
        <v>36511</v>
      </c>
      <c r="M620" s="5" t="s">
        <v>90</v>
      </c>
      <c r="N620" s="7">
        <v>3581077</v>
      </c>
    </row>
    <row r="621" spans="1:14" x14ac:dyDescent="0.3">
      <c r="A621" s="5" t="s">
        <v>90</v>
      </c>
      <c r="B621" s="6" t="s">
        <v>13</v>
      </c>
      <c r="C621" s="6">
        <v>17013484</v>
      </c>
      <c r="D621" s="6">
        <v>496498</v>
      </c>
      <c r="E621" s="6">
        <v>12497224</v>
      </c>
      <c r="F621" s="6"/>
      <c r="G621" s="7">
        <f t="shared" si="36"/>
        <v>4019762</v>
      </c>
      <c r="H621" s="12">
        <f t="shared" si="37"/>
        <v>2.9182617740140704</v>
      </c>
      <c r="I621" s="12">
        <f t="shared" si="38"/>
        <v>73.454819718289329</v>
      </c>
      <c r="J621">
        <f t="shared" si="39"/>
        <v>11637</v>
      </c>
      <c r="M621" s="5" t="s">
        <v>90</v>
      </c>
      <c r="N621" s="7">
        <v>4019762</v>
      </c>
    </row>
    <row r="622" spans="1:14" x14ac:dyDescent="0.3">
      <c r="A622" s="5" t="s">
        <v>90</v>
      </c>
      <c r="B622" s="6" t="s">
        <v>13</v>
      </c>
      <c r="C622" s="6">
        <v>17025508</v>
      </c>
      <c r="D622" s="6">
        <v>270706</v>
      </c>
      <c r="E622" s="6">
        <v>15136350</v>
      </c>
      <c r="F622" s="6"/>
      <c r="G622" s="7">
        <f t="shared" si="36"/>
        <v>1618452</v>
      </c>
      <c r="H622" s="12">
        <f t="shared" si="37"/>
        <v>1.5900024833326558</v>
      </c>
      <c r="I622" s="12">
        <f t="shared" si="38"/>
        <v>88.903955171264201</v>
      </c>
      <c r="J622">
        <f t="shared" si="39"/>
        <v>12024</v>
      </c>
      <c r="M622" s="5" t="s">
        <v>90</v>
      </c>
      <c r="N622" s="7">
        <v>1618452</v>
      </c>
    </row>
    <row r="623" spans="1:14" x14ac:dyDescent="0.3">
      <c r="A623" s="5" t="s">
        <v>90</v>
      </c>
      <c r="B623" s="6" t="s">
        <v>13</v>
      </c>
      <c r="C623" s="6">
        <v>17048347</v>
      </c>
      <c r="D623" s="6">
        <v>228904</v>
      </c>
      <c r="E623" s="6">
        <v>14050722</v>
      </c>
      <c r="F623" s="6"/>
      <c r="G623" s="7">
        <f t="shared" si="36"/>
        <v>2768721</v>
      </c>
      <c r="H623" s="12">
        <f t="shared" si="37"/>
        <v>1.3426756271443794</v>
      </c>
      <c r="I623" s="12">
        <f t="shared" si="38"/>
        <v>82.416917018406536</v>
      </c>
      <c r="J623">
        <f t="shared" si="39"/>
        <v>22839</v>
      </c>
      <c r="M623" s="5" t="s">
        <v>90</v>
      </c>
      <c r="N623" s="7">
        <v>2768721</v>
      </c>
    </row>
    <row r="624" spans="1:14" x14ac:dyDescent="0.3">
      <c r="A624" s="5" t="s">
        <v>90</v>
      </c>
      <c r="B624" s="6" t="s">
        <v>13</v>
      </c>
      <c r="C624" s="6">
        <v>17095448</v>
      </c>
      <c r="D624" s="6">
        <v>204698</v>
      </c>
      <c r="E624" s="6">
        <v>13494797</v>
      </c>
      <c r="F624" s="6"/>
      <c r="G624" s="7">
        <f t="shared" si="36"/>
        <v>3395953</v>
      </c>
      <c r="H624" s="12">
        <f t="shared" si="37"/>
        <v>1.1973830694580219</v>
      </c>
      <c r="I624" s="12">
        <f t="shared" si="38"/>
        <v>78.937954711686999</v>
      </c>
      <c r="J624">
        <f t="shared" si="39"/>
        <v>47101</v>
      </c>
      <c r="M624" s="5" t="s">
        <v>90</v>
      </c>
      <c r="N624" s="7">
        <v>3395953</v>
      </c>
    </row>
    <row r="625" spans="1:14" x14ac:dyDescent="0.3">
      <c r="A625" s="5" t="s">
        <v>90</v>
      </c>
      <c r="B625" s="6" t="s">
        <v>13</v>
      </c>
      <c r="C625" s="6">
        <v>17110816</v>
      </c>
      <c r="D625" s="6">
        <v>224670</v>
      </c>
      <c r="E625" s="6">
        <v>15307525</v>
      </c>
      <c r="F625" s="6"/>
      <c r="G625" s="7">
        <f t="shared" si="36"/>
        <v>1578621</v>
      </c>
      <c r="H625" s="12">
        <f t="shared" si="37"/>
        <v>1.3130291389960596</v>
      </c>
      <c r="I625" s="12">
        <f t="shared" si="38"/>
        <v>89.461104601907934</v>
      </c>
      <c r="J625">
        <f t="shared" si="39"/>
        <v>15368</v>
      </c>
      <c r="M625" s="5" t="s">
        <v>90</v>
      </c>
      <c r="N625" s="7">
        <v>1578621</v>
      </c>
    </row>
    <row r="626" spans="1:14" x14ac:dyDescent="0.3">
      <c r="A626" s="5" t="s">
        <v>91</v>
      </c>
      <c r="B626" s="6" t="s">
        <v>13</v>
      </c>
      <c r="C626" s="6">
        <v>17150378</v>
      </c>
      <c r="D626" s="6">
        <v>492848</v>
      </c>
      <c r="E626" s="6">
        <v>15262074</v>
      </c>
      <c r="F626" s="6"/>
      <c r="G626" s="7">
        <f t="shared" si="36"/>
        <v>1395456</v>
      </c>
      <c r="H626" s="12">
        <f t="shared" si="37"/>
        <v>2.8736859327532023</v>
      </c>
      <c r="I626" s="12">
        <f t="shared" si="38"/>
        <v>88.989723725039767</v>
      </c>
      <c r="J626">
        <f t="shared" si="39"/>
        <v>39562</v>
      </c>
      <c r="M626" s="5" t="s">
        <v>91</v>
      </c>
      <c r="N626" s="7">
        <v>1395456</v>
      </c>
    </row>
    <row r="627" spans="1:14" x14ac:dyDescent="0.3">
      <c r="A627" s="5" t="s">
        <v>91</v>
      </c>
      <c r="B627" s="6" t="s">
        <v>13</v>
      </c>
      <c r="C627" s="6">
        <v>17197169</v>
      </c>
      <c r="D627" s="6">
        <v>178563</v>
      </c>
      <c r="E627" s="6">
        <v>13970407</v>
      </c>
      <c r="F627" s="6"/>
      <c r="G627" s="7">
        <f t="shared" si="36"/>
        <v>3048199</v>
      </c>
      <c r="H627" s="12">
        <f t="shared" si="37"/>
        <v>1.038327878268801</v>
      </c>
      <c r="I627" s="12">
        <f t="shared" si="38"/>
        <v>81.236667500331023</v>
      </c>
      <c r="J627">
        <f t="shared" si="39"/>
        <v>46791</v>
      </c>
      <c r="M627" s="5" t="s">
        <v>91</v>
      </c>
      <c r="N627" s="7">
        <v>3048199</v>
      </c>
    </row>
    <row r="628" spans="1:14" x14ac:dyDescent="0.3">
      <c r="A628" s="5" t="s">
        <v>91</v>
      </c>
      <c r="B628" s="6" t="s">
        <v>13</v>
      </c>
      <c r="C628" s="6">
        <v>17238879</v>
      </c>
      <c r="D628" s="6">
        <v>452997</v>
      </c>
      <c r="E628" s="6">
        <v>14080180</v>
      </c>
      <c r="F628" s="6"/>
      <c r="G628" s="7">
        <f t="shared" si="36"/>
        <v>2705702</v>
      </c>
      <c r="H628" s="12">
        <f t="shared" si="37"/>
        <v>2.6277636730323359</v>
      </c>
      <c r="I628" s="12">
        <f t="shared" si="38"/>
        <v>81.676888619033747</v>
      </c>
      <c r="J628">
        <f t="shared" si="39"/>
        <v>41710</v>
      </c>
      <c r="M628" s="5" t="s">
        <v>91</v>
      </c>
      <c r="N628" s="7">
        <v>2705702</v>
      </c>
    </row>
    <row r="629" spans="1:14" x14ac:dyDescent="0.3">
      <c r="A629" s="5" t="s">
        <v>91</v>
      </c>
      <c r="B629" s="6" t="s">
        <v>13</v>
      </c>
      <c r="C629" s="6">
        <v>17275897</v>
      </c>
      <c r="D629" s="6">
        <v>359918</v>
      </c>
      <c r="E629" s="6">
        <v>13262055</v>
      </c>
      <c r="F629" s="6"/>
      <c r="G629" s="7">
        <f t="shared" si="36"/>
        <v>3653924</v>
      </c>
      <c r="H629" s="12">
        <f t="shared" si="37"/>
        <v>2.0833534721815026</v>
      </c>
      <c r="I629" s="12">
        <f t="shared" si="38"/>
        <v>76.76623100959678</v>
      </c>
      <c r="J629">
        <f t="shared" si="39"/>
        <v>37018</v>
      </c>
      <c r="M629" s="5" t="s">
        <v>91</v>
      </c>
      <c r="N629" s="7">
        <v>3653924</v>
      </c>
    </row>
    <row r="630" spans="1:14" x14ac:dyDescent="0.3">
      <c r="A630" s="5" t="s">
        <v>91</v>
      </c>
      <c r="B630" s="6" t="s">
        <v>13</v>
      </c>
      <c r="C630" s="6">
        <v>17282942</v>
      </c>
      <c r="D630" s="6">
        <v>361611</v>
      </c>
      <c r="E630" s="6">
        <v>15465867</v>
      </c>
      <c r="F630" s="6"/>
      <c r="G630" s="7">
        <f t="shared" si="36"/>
        <v>1455464</v>
      </c>
      <c r="H630" s="12">
        <f t="shared" si="37"/>
        <v>2.0923000262339597</v>
      </c>
      <c r="I630" s="12">
        <f t="shared" si="38"/>
        <v>89.486309680377332</v>
      </c>
      <c r="J630">
        <f t="shared" si="39"/>
        <v>7045</v>
      </c>
      <c r="M630" s="5" t="s">
        <v>91</v>
      </c>
      <c r="N630" s="7">
        <v>1455464</v>
      </c>
    </row>
    <row r="631" spans="1:14" x14ac:dyDescent="0.3">
      <c r="A631" s="5" t="s">
        <v>91</v>
      </c>
      <c r="B631" s="6" t="s">
        <v>13</v>
      </c>
      <c r="C631" s="6">
        <v>17330020</v>
      </c>
      <c r="D631" s="6">
        <v>238028</v>
      </c>
      <c r="E631" s="6">
        <v>14817863</v>
      </c>
      <c r="F631" s="6"/>
      <c r="G631" s="7">
        <f t="shared" si="36"/>
        <v>2274129</v>
      </c>
      <c r="H631" s="12">
        <f t="shared" si="37"/>
        <v>1.3735010115395134</v>
      </c>
      <c r="I631" s="12">
        <f t="shared" si="38"/>
        <v>85.504015575284967</v>
      </c>
      <c r="J631">
        <f t="shared" si="39"/>
        <v>47078</v>
      </c>
      <c r="M631" s="5" t="s">
        <v>91</v>
      </c>
      <c r="N631" s="7">
        <v>2274129</v>
      </c>
    </row>
    <row r="632" spans="1:14" x14ac:dyDescent="0.3">
      <c r="A632" s="5" t="s">
        <v>91</v>
      </c>
      <c r="B632" s="6" t="s">
        <v>13</v>
      </c>
      <c r="C632" s="6">
        <v>17337945</v>
      </c>
      <c r="D632" s="6">
        <v>305761</v>
      </c>
      <c r="E632" s="6">
        <v>15249431</v>
      </c>
      <c r="F632" s="6"/>
      <c r="G632" s="7">
        <f t="shared" si="36"/>
        <v>1782753</v>
      </c>
      <c r="H632" s="12">
        <f t="shared" si="37"/>
        <v>1.7635365667615164</v>
      </c>
      <c r="I632" s="12">
        <f t="shared" si="38"/>
        <v>87.954085677397174</v>
      </c>
      <c r="J632">
        <f t="shared" si="39"/>
        <v>7925</v>
      </c>
      <c r="M632" s="5" t="s">
        <v>91</v>
      </c>
      <c r="N632" s="7">
        <v>1782753</v>
      </c>
    </row>
    <row r="633" spans="1:14" x14ac:dyDescent="0.3">
      <c r="A633" s="5" t="s">
        <v>91</v>
      </c>
      <c r="B633" s="6" t="s">
        <v>13</v>
      </c>
      <c r="C633" s="6">
        <v>17386916</v>
      </c>
      <c r="D633" s="6">
        <v>460970</v>
      </c>
      <c r="E633" s="6">
        <v>12237626</v>
      </c>
      <c r="F633" s="6"/>
      <c r="G633" s="7">
        <f t="shared" si="36"/>
        <v>4688320</v>
      </c>
      <c r="H633" s="12">
        <f t="shared" si="37"/>
        <v>2.6512464890265761</v>
      </c>
      <c r="I633" s="12">
        <f t="shared" si="38"/>
        <v>70.384109522355772</v>
      </c>
      <c r="J633">
        <f t="shared" si="39"/>
        <v>48971</v>
      </c>
      <c r="M633" s="5" t="s">
        <v>91</v>
      </c>
      <c r="N633" s="7">
        <v>4688320</v>
      </c>
    </row>
    <row r="634" spans="1:14" x14ac:dyDescent="0.3">
      <c r="A634" s="5" t="s">
        <v>92</v>
      </c>
      <c r="B634" s="6" t="s">
        <v>13</v>
      </c>
      <c r="C634" s="6">
        <v>17434140</v>
      </c>
      <c r="D634" s="6">
        <v>411412</v>
      </c>
      <c r="E634" s="6">
        <v>15346894</v>
      </c>
      <c r="F634" s="6"/>
      <c r="G634" s="7">
        <f t="shared" si="36"/>
        <v>1675834</v>
      </c>
      <c r="H634" s="12">
        <f t="shared" si="37"/>
        <v>2.3598066781613545</v>
      </c>
      <c r="I634" s="12">
        <f t="shared" si="38"/>
        <v>88.027823569157988</v>
      </c>
      <c r="J634">
        <f t="shared" si="39"/>
        <v>47224</v>
      </c>
      <c r="M634" s="5" t="s">
        <v>92</v>
      </c>
      <c r="N634" s="7">
        <v>1675834</v>
      </c>
    </row>
    <row r="635" spans="1:14" x14ac:dyDescent="0.3">
      <c r="A635" s="5" t="s">
        <v>92</v>
      </c>
      <c r="B635" s="6" t="s">
        <v>13</v>
      </c>
      <c r="C635" s="6">
        <v>17479823</v>
      </c>
      <c r="D635" s="6">
        <v>206035</v>
      </c>
      <c r="E635" s="6">
        <v>13858245</v>
      </c>
      <c r="F635" s="6"/>
      <c r="G635" s="7">
        <f t="shared" si="36"/>
        <v>3415543</v>
      </c>
      <c r="H635" s="12">
        <f t="shared" si="37"/>
        <v>1.1787018667179869</v>
      </c>
      <c r="I635" s="12">
        <f t="shared" si="38"/>
        <v>79.28138059521541</v>
      </c>
      <c r="J635">
        <f t="shared" si="39"/>
        <v>45683</v>
      </c>
      <c r="M635" s="5" t="s">
        <v>92</v>
      </c>
      <c r="N635" s="7">
        <v>3415543</v>
      </c>
    </row>
    <row r="636" spans="1:14" x14ac:dyDescent="0.3">
      <c r="A636" s="5" t="s">
        <v>92</v>
      </c>
      <c r="B636" s="6" t="s">
        <v>13</v>
      </c>
      <c r="C636" s="6">
        <v>17497771</v>
      </c>
      <c r="D636" s="6">
        <v>221107</v>
      </c>
      <c r="E636" s="6">
        <v>15309597</v>
      </c>
      <c r="F636" s="6"/>
      <c r="G636" s="7">
        <f t="shared" si="36"/>
        <v>1967067</v>
      </c>
      <c r="H636" s="12">
        <f t="shared" si="37"/>
        <v>1.2636295217259386</v>
      </c>
      <c r="I636" s="12">
        <f t="shared" si="38"/>
        <v>87.494555735127634</v>
      </c>
      <c r="J636">
        <f t="shared" si="39"/>
        <v>17948</v>
      </c>
      <c r="M636" s="5" t="s">
        <v>92</v>
      </c>
      <c r="N636" s="7">
        <v>1967067</v>
      </c>
    </row>
    <row r="637" spans="1:14" x14ac:dyDescent="0.3">
      <c r="A637" s="5" t="s">
        <v>92</v>
      </c>
      <c r="B637" s="6" t="s">
        <v>13</v>
      </c>
      <c r="C637" s="6">
        <v>17501937</v>
      </c>
      <c r="D637" s="6">
        <v>271146</v>
      </c>
      <c r="E637" s="6">
        <v>13289998</v>
      </c>
      <c r="F637" s="6"/>
      <c r="G637" s="7">
        <f t="shared" si="36"/>
        <v>3940793</v>
      </c>
      <c r="H637" s="12">
        <f t="shared" si="37"/>
        <v>1.5492342361876859</v>
      </c>
      <c r="I637" s="12">
        <f t="shared" si="38"/>
        <v>75.934440856460625</v>
      </c>
      <c r="J637">
        <f t="shared" si="39"/>
        <v>4166</v>
      </c>
      <c r="M637" s="5" t="s">
        <v>92</v>
      </c>
      <c r="N637" s="7">
        <v>3940793</v>
      </c>
    </row>
    <row r="638" spans="1:14" x14ac:dyDescent="0.3">
      <c r="A638" s="5" t="s">
        <v>92</v>
      </c>
      <c r="B638" s="6" t="s">
        <v>13</v>
      </c>
      <c r="C638" s="6">
        <v>17512771</v>
      </c>
      <c r="D638" s="6">
        <v>382228</v>
      </c>
      <c r="E638" s="6">
        <v>13970914</v>
      </c>
      <c r="F638" s="6"/>
      <c r="G638" s="7">
        <f t="shared" si="36"/>
        <v>3159629</v>
      </c>
      <c r="H638" s="12">
        <f t="shared" si="37"/>
        <v>2.1825672247984058</v>
      </c>
      <c r="I638" s="12">
        <f t="shared" si="38"/>
        <v>79.775576349396687</v>
      </c>
      <c r="J638">
        <f t="shared" si="39"/>
        <v>10834</v>
      </c>
      <c r="M638" s="5" t="s">
        <v>92</v>
      </c>
      <c r="N638" s="7">
        <v>3159629</v>
      </c>
    </row>
    <row r="639" spans="1:14" x14ac:dyDescent="0.3">
      <c r="A639" s="5" t="s">
        <v>92</v>
      </c>
      <c r="B639" s="6" t="s">
        <v>13</v>
      </c>
      <c r="C639" s="6">
        <v>17536128</v>
      </c>
      <c r="D639" s="6">
        <v>250854</v>
      </c>
      <c r="E639" s="6">
        <v>13223063</v>
      </c>
      <c r="F639" s="6"/>
      <c r="G639" s="7">
        <f t="shared" si="36"/>
        <v>4062211</v>
      </c>
      <c r="H639" s="12">
        <f t="shared" si="37"/>
        <v>1.4304982262903192</v>
      </c>
      <c r="I639" s="12">
        <f t="shared" si="38"/>
        <v>75.404690248611331</v>
      </c>
      <c r="J639">
        <f t="shared" si="39"/>
        <v>23357</v>
      </c>
      <c r="M639" s="5" t="s">
        <v>92</v>
      </c>
      <c r="N639" s="7">
        <v>4062211</v>
      </c>
    </row>
    <row r="640" spans="1:14" x14ac:dyDescent="0.3">
      <c r="A640" s="5" t="s">
        <v>92</v>
      </c>
      <c r="B640" s="6" t="s">
        <v>13</v>
      </c>
      <c r="C640" s="6">
        <v>17559537</v>
      </c>
      <c r="D640" s="6">
        <v>357645</v>
      </c>
      <c r="E640" s="6">
        <v>13596022</v>
      </c>
      <c r="F640" s="6"/>
      <c r="G640" s="7">
        <f t="shared" si="36"/>
        <v>3605870</v>
      </c>
      <c r="H640" s="12">
        <f t="shared" si="37"/>
        <v>2.0367564361178774</v>
      </c>
      <c r="I640" s="12">
        <f t="shared" si="38"/>
        <v>77.428134921780682</v>
      </c>
      <c r="J640">
        <f t="shared" si="39"/>
        <v>23409</v>
      </c>
      <c r="M640" s="5" t="s">
        <v>92</v>
      </c>
      <c r="N640" s="7">
        <v>3605870</v>
      </c>
    </row>
    <row r="641" spans="1:14" x14ac:dyDescent="0.3">
      <c r="A641" s="5" t="s">
        <v>92</v>
      </c>
      <c r="B641" s="6" t="s">
        <v>13</v>
      </c>
      <c r="C641" s="6">
        <v>17574057</v>
      </c>
      <c r="D641" s="6">
        <v>517045</v>
      </c>
      <c r="E641" s="6">
        <v>12924962</v>
      </c>
      <c r="F641" s="6"/>
      <c r="G641" s="7">
        <f t="shared" si="36"/>
        <v>4132050</v>
      </c>
      <c r="H641" s="12">
        <f t="shared" si="37"/>
        <v>2.942092426353232</v>
      </c>
      <c r="I641" s="12">
        <f t="shared" si="38"/>
        <v>73.545692949556269</v>
      </c>
      <c r="J641">
        <f t="shared" si="39"/>
        <v>14520</v>
      </c>
      <c r="M641" s="5" t="s">
        <v>92</v>
      </c>
      <c r="N641" s="7">
        <v>4132050</v>
      </c>
    </row>
    <row r="642" spans="1:14" x14ac:dyDescent="0.3">
      <c r="A642" s="5" t="s">
        <v>93</v>
      </c>
      <c r="B642" s="6" t="s">
        <v>13</v>
      </c>
      <c r="C642" s="6">
        <v>17612710</v>
      </c>
      <c r="D642" s="6">
        <v>209064</v>
      </c>
      <c r="E642" s="6">
        <v>12475038</v>
      </c>
      <c r="F642" s="6"/>
      <c r="G642" s="7">
        <f t="shared" si="36"/>
        <v>4928608</v>
      </c>
      <c r="H642" s="12">
        <f t="shared" si="37"/>
        <v>1.1870064288800533</v>
      </c>
      <c r="I642" s="12">
        <f t="shared" si="38"/>
        <v>70.829747381294524</v>
      </c>
      <c r="J642">
        <f t="shared" si="39"/>
        <v>38653</v>
      </c>
      <c r="M642" s="5" t="s">
        <v>93</v>
      </c>
      <c r="N642" s="7">
        <v>4928608</v>
      </c>
    </row>
    <row r="643" spans="1:14" x14ac:dyDescent="0.3">
      <c r="A643" s="5" t="s">
        <v>93</v>
      </c>
      <c r="B643" s="6" t="s">
        <v>13</v>
      </c>
      <c r="C643" s="6">
        <v>17641508</v>
      </c>
      <c r="D643" s="6">
        <v>334752</v>
      </c>
      <c r="E643" s="6">
        <v>13108364</v>
      </c>
      <c r="F643" s="6"/>
      <c r="G643" s="7">
        <f t="shared" ref="G643:G706" si="40" xml:space="preserve"> C643-D643-E643</f>
        <v>4198392</v>
      </c>
      <c r="H643" s="12">
        <f t="shared" ref="H643:H706" si="41">D643/C643*100</f>
        <v>1.8975248601196679</v>
      </c>
      <c r="I643" s="12">
        <f t="shared" ref="I643:I706" si="42">E643/C643*100</f>
        <v>74.304101440761187</v>
      </c>
      <c r="J643">
        <f t="shared" ref="J643:J706" si="43">IF(B643=B642,C643-C642,"")</f>
        <v>28798</v>
      </c>
      <c r="M643" s="5" t="s">
        <v>93</v>
      </c>
      <c r="N643" s="7">
        <v>4198392</v>
      </c>
    </row>
    <row r="644" spans="1:14" x14ac:dyDescent="0.3">
      <c r="A644" s="5" t="s">
        <v>93</v>
      </c>
      <c r="B644" s="6" t="s">
        <v>13</v>
      </c>
      <c r="C644" s="6">
        <v>17652103</v>
      </c>
      <c r="D644" s="6">
        <v>201213</v>
      </c>
      <c r="E644" s="6">
        <v>15311441</v>
      </c>
      <c r="F644" s="6"/>
      <c r="G644" s="7">
        <f t="shared" si="40"/>
        <v>2139449</v>
      </c>
      <c r="H644" s="12">
        <f t="shared" si="41"/>
        <v>1.1398811801630662</v>
      </c>
      <c r="I644" s="12">
        <f t="shared" si="42"/>
        <v>86.740038849761987</v>
      </c>
      <c r="J644">
        <f t="shared" si="43"/>
        <v>10595</v>
      </c>
      <c r="M644" s="5" t="s">
        <v>93</v>
      </c>
      <c r="N644" s="7">
        <v>2139449</v>
      </c>
    </row>
    <row r="645" spans="1:14" x14ac:dyDescent="0.3">
      <c r="A645" s="5" t="s">
        <v>93</v>
      </c>
      <c r="B645" s="6" t="s">
        <v>13</v>
      </c>
      <c r="C645" s="6">
        <v>17672182</v>
      </c>
      <c r="D645" s="6">
        <v>303430</v>
      </c>
      <c r="E645" s="6">
        <v>14633458</v>
      </c>
      <c r="F645" s="6"/>
      <c r="G645" s="7">
        <f t="shared" si="40"/>
        <v>2735294</v>
      </c>
      <c r="H645" s="12">
        <f t="shared" si="41"/>
        <v>1.7169922763357688</v>
      </c>
      <c r="I645" s="12">
        <f t="shared" si="42"/>
        <v>82.805043542444281</v>
      </c>
      <c r="J645">
        <f t="shared" si="43"/>
        <v>20079</v>
      </c>
      <c r="M645" s="5" t="s">
        <v>93</v>
      </c>
      <c r="N645" s="7">
        <v>2735294</v>
      </c>
    </row>
    <row r="646" spans="1:14" x14ac:dyDescent="0.3">
      <c r="A646" s="5" t="s">
        <v>93</v>
      </c>
      <c r="B646" s="6" t="s">
        <v>13</v>
      </c>
      <c r="C646" s="6">
        <v>17687213</v>
      </c>
      <c r="D646" s="6">
        <v>205095</v>
      </c>
      <c r="E646" s="6">
        <v>13072727</v>
      </c>
      <c r="F646" s="6"/>
      <c r="G646" s="7">
        <f t="shared" si="40"/>
        <v>4409391</v>
      </c>
      <c r="H646" s="12">
        <f t="shared" si="41"/>
        <v>1.1595665184786319</v>
      </c>
      <c r="I646" s="12">
        <f t="shared" si="42"/>
        <v>73.910609885231779</v>
      </c>
      <c r="J646">
        <f t="shared" si="43"/>
        <v>15031</v>
      </c>
      <c r="M646" s="5" t="s">
        <v>93</v>
      </c>
      <c r="N646" s="7">
        <v>4409391</v>
      </c>
    </row>
    <row r="647" spans="1:14" x14ac:dyDescent="0.3">
      <c r="A647" s="5" t="s">
        <v>93</v>
      </c>
      <c r="B647" s="6" t="s">
        <v>13</v>
      </c>
      <c r="C647" s="6">
        <v>17724352</v>
      </c>
      <c r="D647" s="6">
        <v>482981</v>
      </c>
      <c r="E647" s="6">
        <v>12958391</v>
      </c>
      <c r="F647" s="6"/>
      <c r="G647" s="7">
        <f t="shared" si="40"/>
        <v>4282980</v>
      </c>
      <c r="H647" s="12">
        <f t="shared" si="41"/>
        <v>2.7249571662760932</v>
      </c>
      <c r="I647" s="12">
        <f t="shared" si="42"/>
        <v>73.110661535045125</v>
      </c>
      <c r="J647">
        <f t="shared" si="43"/>
        <v>37139</v>
      </c>
      <c r="M647" s="5" t="s">
        <v>93</v>
      </c>
      <c r="N647" s="7">
        <v>4282980</v>
      </c>
    </row>
    <row r="648" spans="1:14" x14ac:dyDescent="0.3">
      <c r="A648" s="5" t="s">
        <v>93</v>
      </c>
      <c r="B648" s="6" t="s">
        <v>13</v>
      </c>
      <c r="C648" s="6">
        <v>17746390</v>
      </c>
      <c r="D648" s="6">
        <v>327865</v>
      </c>
      <c r="E648" s="6">
        <v>14202971</v>
      </c>
      <c r="F648" s="6"/>
      <c r="G648" s="7">
        <f t="shared" si="40"/>
        <v>3215554</v>
      </c>
      <c r="H648" s="12">
        <f t="shared" si="41"/>
        <v>1.8475025061435031</v>
      </c>
      <c r="I648" s="12">
        <f t="shared" si="42"/>
        <v>80.033015165337844</v>
      </c>
      <c r="J648">
        <f t="shared" si="43"/>
        <v>22038</v>
      </c>
      <c r="M648" s="5" t="s">
        <v>93</v>
      </c>
      <c r="N648" s="7">
        <v>3215554</v>
      </c>
    </row>
    <row r="649" spans="1:14" x14ac:dyDescent="0.3">
      <c r="A649" s="5" t="s">
        <v>93</v>
      </c>
      <c r="B649" s="6" t="s">
        <v>13</v>
      </c>
      <c r="C649" s="6">
        <v>17748098</v>
      </c>
      <c r="D649" s="6">
        <v>520785</v>
      </c>
      <c r="E649" s="6">
        <v>14864995</v>
      </c>
      <c r="F649" s="6"/>
      <c r="G649" s="7">
        <f t="shared" si="40"/>
        <v>2362318</v>
      </c>
      <c r="H649" s="12">
        <f t="shared" si="41"/>
        <v>2.9343144262557037</v>
      </c>
      <c r="I649" s="12">
        <f t="shared" si="42"/>
        <v>83.755425510947717</v>
      </c>
      <c r="J649">
        <f t="shared" si="43"/>
        <v>1708</v>
      </c>
      <c r="M649" s="5" t="s">
        <v>93</v>
      </c>
      <c r="N649" s="7">
        <v>2362318</v>
      </c>
    </row>
    <row r="650" spans="1:14" x14ac:dyDescent="0.3">
      <c r="A650" s="5" t="s">
        <v>94</v>
      </c>
      <c r="B650" s="6" t="s">
        <v>13</v>
      </c>
      <c r="C650" s="6">
        <v>17752191</v>
      </c>
      <c r="D650" s="6">
        <v>233734</v>
      </c>
      <c r="E650" s="6">
        <v>13416723</v>
      </c>
      <c r="F650" s="6"/>
      <c r="G650" s="7">
        <f t="shared" si="40"/>
        <v>4101734</v>
      </c>
      <c r="H650" s="12">
        <f t="shared" si="41"/>
        <v>1.3166487449352027</v>
      </c>
      <c r="I650" s="12">
        <f t="shared" si="42"/>
        <v>75.577842757550314</v>
      </c>
      <c r="J650">
        <f t="shared" si="43"/>
        <v>4093</v>
      </c>
      <c r="M650" s="5" t="s">
        <v>94</v>
      </c>
      <c r="N650" s="7">
        <v>4101734</v>
      </c>
    </row>
    <row r="651" spans="1:14" x14ac:dyDescent="0.3">
      <c r="A651" s="5" t="s">
        <v>94</v>
      </c>
      <c r="B651" s="6" t="s">
        <v>13</v>
      </c>
      <c r="C651" s="6">
        <v>17792674</v>
      </c>
      <c r="D651" s="6">
        <v>468145</v>
      </c>
      <c r="E651" s="6">
        <v>15189188</v>
      </c>
      <c r="F651" s="6"/>
      <c r="G651" s="7">
        <f t="shared" si="40"/>
        <v>2135341</v>
      </c>
      <c r="H651" s="12">
        <f t="shared" si="41"/>
        <v>2.6311109842174369</v>
      </c>
      <c r="I651" s="12">
        <f t="shared" si="42"/>
        <v>85.367651877396284</v>
      </c>
      <c r="J651">
        <f t="shared" si="43"/>
        <v>40483</v>
      </c>
      <c r="M651" s="5" t="s">
        <v>94</v>
      </c>
      <c r="N651" s="7">
        <v>2135341</v>
      </c>
    </row>
    <row r="652" spans="1:14" x14ac:dyDescent="0.3">
      <c r="A652" s="5" t="s">
        <v>94</v>
      </c>
      <c r="B652" s="6" t="s">
        <v>13</v>
      </c>
      <c r="C652" s="6">
        <v>17839532</v>
      </c>
      <c r="D652" s="6">
        <v>459953</v>
      </c>
      <c r="E652" s="6">
        <v>13270347</v>
      </c>
      <c r="F652" s="6"/>
      <c r="G652" s="7">
        <f t="shared" si="40"/>
        <v>4109232</v>
      </c>
      <c r="H652" s="12">
        <f t="shared" si="41"/>
        <v>2.5782795198887505</v>
      </c>
      <c r="I652" s="12">
        <f t="shared" si="42"/>
        <v>74.387304554850431</v>
      </c>
      <c r="J652">
        <f t="shared" si="43"/>
        <v>46858</v>
      </c>
      <c r="M652" s="5" t="s">
        <v>94</v>
      </c>
      <c r="N652" s="7">
        <v>4109232</v>
      </c>
    </row>
    <row r="653" spans="1:14" x14ac:dyDescent="0.3">
      <c r="A653" s="5" t="s">
        <v>94</v>
      </c>
      <c r="B653" s="6" t="s">
        <v>13</v>
      </c>
      <c r="C653" s="6">
        <v>17889318</v>
      </c>
      <c r="D653" s="6">
        <v>515207</v>
      </c>
      <c r="E653" s="6">
        <v>14930344</v>
      </c>
      <c r="F653" s="6"/>
      <c r="G653" s="7">
        <f t="shared" si="40"/>
        <v>2443767</v>
      </c>
      <c r="H653" s="12">
        <f t="shared" si="41"/>
        <v>2.8799700469296816</v>
      </c>
      <c r="I653" s="12">
        <f t="shared" si="42"/>
        <v>83.459548318163939</v>
      </c>
      <c r="J653">
        <f t="shared" si="43"/>
        <v>49786</v>
      </c>
      <c r="M653" s="5" t="s">
        <v>94</v>
      </c>
      <c r="N653" s="7">
        <v>2443767</v>
      </c>
    </row>
    <row r="654" spans="1:14" x14ac:dyDescent="0.3">
      <c r="A654" s="5" t="s">
        <v>94</v>
      </c>
      <c r="B654" s="6" t="s">
        <v>13</v>
      </c>
      <c r="C654" s="6">
        <v>17929002</v>
      </c>
      <c r="D654" s="6">
        <v>351369</v>
      </c>
      <c r="E654" s="6">
        <v>15386672</v>
      </c>
      <c r="F654" s="6"/>
      <c r="G654" s="7">
        <f t="shared" si="40"/>
        <v>2190961</v>
      </c>
      <c r="H654" s="12">
        <f t="shared" si="41"/>
        <v>1.9597800256812954</v>
      </c>
      <c r="I654" s="12">
        <f t="shared" si="42"/>
        <v>85.820013852416324</v>
      </c>
      <c r="J654">
        <f t="shared" si="43"/>
        <v>39684</v>
      </c>
      <c r="M654" s="5" t="s">
        <v>94</v>
      </c>
      <c r="N654" s="7">
        <v>2190961</v>
      </c>
    </row>
    <row r="655" spans="1:14" x14ac:dyDescent="0.3">
      <c r="A655" s="5" t="s">
        <v>94</v>
      </c>
      <c r="B655" s="6" t="s">
        <v>13</v>
      </c>
      <c r="C655" s="6">
        <v>17974002</v>
      </c>
      <c r="D655" s="6">
        <v>332103</v>
      </c>
      <c r="E655" s="6">
        <v>12854816</v>
      </c>
      <c r="F655" s="6"/>
      <c r="G655" s="7">
        <f t="shared" si="40"/>
        <v>4787083</v>
      </c>
      <c r="H655" s="12">
        <f t="shared" si="41"/>
        <v>1.8476853401930189</v>
      </c>
      <c r="I655" s="12">
        <f t="shared" si="42"/>
        <v>71.518941635813775</v>
      </c>
      <c r="J655">
        <f t="shared" si="43"/>
        <v>45000</v>
      </c>
      <c r="M655" s="5" t="s">
        <v>94</v>
      </c>
      <c r="N655" s="7">
        <v>4787083</v>
      </c>
    </row>
    <row r="656" spans="1:14" x14ac:dyDescent="0.3">
      <c r="A656" s="5" t="s">
        <v>94</v>
      </c>
      <c r="B656" s="6" t="s">
        <v>13</v>
      </c>
      <c r="C656" s="6">
        <v>18015063</v>
      </c>
      <c r="D656" s="6">
        <v>207165</v>
      </c>
      <c r="E656" s="6">
        <v>15992845</v>
      </c>
      <c r="F656" s="6"/>
      <c r="G656" s="7">
        <f t="shared" si="40"/>
        <v>1815053</v>
      </c>
      <c r="H656" s="12">
        <f t="shared" si="41"/>
        <v>1.1499543465376725</v>
      </c>
      <c r="I656" s="12">
        <f t="shared" si="42"/>
        <v>88.774849135970271</v>
      </c>
      <c r="J656">
        <f t="shared" si="43"/>
        <v>41061</v>
      </c>
      <c r="M656" s="5" t="s">
        <v>94</v>
      </c>
      <c r="N656" s="7">
        <v>1815053</v>
      </c>
    </row>
    <row r="657" spans="1:14" x14ac:dyDescent="0.3">
      <c r="A657" s="5" t="s">
        <v>94</v>
      </c>
      <c r="B657" s="6" t="s">
        <v>13</v>
      </c>
      <c r="C657" s="6">
        <v>18050809</v>
      </c>
      <c r="D657" s="6">
        <v>237216</v>
      </c>
      <c r="E657" s="6">
        <v>12927134</v>
      </c>
      <c r="F657" s="6"/>
      <c r="G657" s="7">
        <f t="shared" si="40"/>
        <v>4886459</v>
      </c>
      <c r="H657" s="12">
        <f t="shared" si="41"/>
        <v>1.3141571660306195</v>
      </c>
      <c r="I657" s="12">
        <f t="shared" si="42"/>
        <v>71.615261122091539</v>
      </c>
      <c r="J657">
        <f t="shared" si="43"/>
        <v>35746</v>
      </c>
      <c r="M657" s="5" t="s">
        <v>94</v>
      </c>
      <c r="N657" s="7">
        <v>4886459</v>
      </c>
    </row>
    <row r="658" spans="1:14" x14ac:dyDescent="0.3">
      <c r="A658" s="5" t="s">
        <v>95</v>
      </c>
      <c r="B658" s="6" t="s">
        <v>13</v>
      </c>
      <c r="C658" s="6">
        <v>18083426</v>
      </c>
      <c r="D658" s="6">
        <v>416226</v>
      </c>
      <c r="E658" s="6">
        <v>13675676</v>
      </c>
      <c r="F658" s="6"/>
      <c r="G658" s="7">
        <f t="shared" si="40"/>
        <v>3991524</v>
      </c>
      <c r="H658" s="12">
        <f t="shared" si="41"/>
        <v>2.3016988041978328</v>
      </c>
      <c r="I658" s="12">
        <f t="shared" si="42"/>
        <v>75.625470527542731</v>
      </c>
      <c r="J658">
        <f t="shared" si="43"/>
        <v>32617</v>
      </c>
      <c r="M658" s="5" t="s">
        <v>95</v>
      </c>
      <c r="N658" s="7">
        <v>3991524</v>
      </c>
    </row>
    <row r="659" spans="1:14" x14ac:dyDescent="0.3">
      <c r="A659" s="5" t="s">
        <v>95</v>
      </c>
      <c r="B659" s="6" t="s">
        <v>13</v>
      </c>
      <c r="C659" s="6">
        <v>18085204</v>
      </c>
      <c r="D659" s="6">
        <v>271415</v>
      </c>
      <c r="E659" s="6">
        <v>14613698</v>
      </c>
      <c r="F659" s="6"/>
      <c r="G659" s="7">
        <f t="shared" si="40"/>
        <v>3200091</v>
      </c>
      <c r="H659" s="12">
        <f t="shared" si="41"/>
        <v>1.5007571935599953</v>
      </c>
      <c r="I659" s="12">
        <f t="shared" si="42"/>
        <v>80.80471749171312</v>
      </c>
      <c r="J659">
        <f t="shared" si="43"/>
        <v>1778</v>
      </c>
      <c r="M659" s="5" t="s">
        <v>95</v>
      </c>
      <c r="N659" s="7">
        <v>3200091</v>
      </c>
    </row>
    <row r="660" spans="1:14" x14ac:dyDescent="0.3">
      <c r="A660" s="5" t="s">
        <v>95</v>
      </c>
      <c r="B660" s="6" t="s">
        <v>13</v>
      </c>
      <c r="C660" s="6">
        <v>18114226</v>
      </c>
      <c r="D660" s="6">
        <v>537522</v>
      </c>
      <c r="E660" s="6">
        <v>14938431</v>
      </c>
      <c r="F660" s="6"/>
      <c r="G660" s="7">
        <f t="shared" si="40"/>
        <v>2638273</v>
      </c>
      <c r="H660" s="12">
        <f t="shared" si="41"/>
        <v>2.9674025266108526</v>
      </c>
      <c r="I660" s="12">
        <f t="shared" si="42"/>
        <v>82.467950880153523</v>
      </c>
      <c r="J660">
        <f t="shared" si="43"/>
        <v>29022</v>
      </c>
      <c r="M660" s="5" t="s">
        <v>95</v>
      </c>
      <c r="N660" s="7">
        <v>2638273</v>
      </c>
    </row>
    <row r="661" spans="1:14" x14ac:dyDescent="0.3">
      <c r="A661" s="5" t="s">
        <v>95</v>
      </c>
      <c r="B661" s="6" t="s">
        <v>13</v>
      </c>
      <c r="C661" s="6">
        <v>18154382</v>
      </c>
      <c r="D661" s="6">
        <v>196747</v>
      </c>
      <c r="E661" s="6">
        <v>13146136</v>
      </c>
      <c r="F661" s="6"/>
      <c r="G661" s="7">
        <f t="shared" si="40"/>
        <v>4811499</v>
      </c>
      <c r="H661" s="12">
        <f t="shared" si="41"/>
        <v>1.0837438586452572</v>
      </c>
      <c r="I661" s="12">
        <f t="shared" si="42"/>
        <v>72.413018520817729</v>
      </c>
      <c r="J661">
        <f t="shared" si="43"/>
        <v>40156</v>
      </c>
      <c r="M661" s="5" t="s">
        <v>95</v>
      </c>
      <c r="N661" s="7">
        <v>4811499</v>
      </c>
    </row>
    <row r="662" spans="1:14" x14ac:dyDescent="0.3">
      <c r="A662" s="5" t="s">
        <v>95</v>
      </c>
      <c r="B662" s="6" t="s">
        <v>13</v>
      </c>
      <c r="C662" s="6">
        <v>18172660</v>
      </c>
      <c r="D662" s="6">
        <v>266208</v>
      </c>
      <c r="E662" s="6">
        <v>15673906</v>
      </c>
      <c r="F662" s="6"/>
      <c r="G662" s="7">
        <f t="shared" si="40"/>
        <v>2232546</v>
      </c>
      <c r="H662" s="12">
        <f t="shared" si="41"/>
        <v>1.4648818609933822</v>
      </c>
      <c r="I662" s="12">
        <f t="shared" si="42"/>
        <v>86.249927088274362</v>
      </c>
      <c r="J662">
        <f t="shared" si="43"/>
        <v>18278</v>
      </c>
      <c r="M662" s="5" t="s">
        <v>95</v>
      </c>
      <c r="N662" s="7">
        <v>2232546</v>
      </c>
    </row>
    <row r="663" spans="1:14" x14ac:dyDescent="0.3">
      <c r="A663" s="5" t="s">
        <v>95</v>
      </c>
      <c r="B663" s="6" t="s">
        <v>13</v>
      </c>
      <c r="C663" s="6">
        <v>18183510</v>
      </c>
      <c r="D663" s="6">
        <v>215598</v>
      </c>
      <c r="E663" s="6">
        <v>14057397</v>
      </c>
      <c r="F663" s="6"/>
      <c r="G663" s="7">
        <f t="shared" si="40"/>
        <v>3910515</v>
      </c>
      <c r="H663" s="12">
        <f t="shared" si="41"/>
        <v>1.1856786725995145</v>
      </c>
      <c r="I663" s="12">
        <f t="shared" si="42"/>
        <v>77.308489945010621</v>
      </c>
      <c r="J663">
        <f t="shared" si="43"/>
        <v>10850</v>
      </c>
      <c r="M663" s="5" t="s">
        <v>95</v>
      </c>
      <c r="N663" s="7">
        <v>3910515</v>
      </c>
    </row>
    <row r="664" spans="1:14" x14ac:dyDescent="0.3">
      <c r="A664" s="5" t="s">
        <v>95</v>
      </c>
      <c r="B664" s="6" t="s">
        <v>13</v>
      </c>
      <c r="C664" s="6">
        <v>18195887</v>
      </c>
      <c r="D664" s="6">
        <v>211063</v>
      </c>
      <c r="E664" s="6">
        <v>16121886</v>
      </c>
      <c r="F664" s="6"/>
      <c r="G664" s="7">
        <f t="shared" si="40"/>
        <v>1862938</v>
      </c>
      <c r="H664" s="12">
        <f t="shared" si="41"/>
        <v>1.1599489489025734</v>
      </c>
      <c r="I664" s="12">
        <f t="shared" si="42"/>
        <v>88.601814245164306</v>
      </c>
      <c r="J664">
        <f t="shared" si="43"/>
        <v>12377</v>
      </c>
      <c r="M664" s="5" t="s">
        <v>95</v>
      </c>
      <c r="N664" s="7">
        <v>1862938</v>
      </c>
    </row>
    <row r="665" spans="1:14" x14ac:dyDescent="0.3">
      <c r="A665" s="5" t="s">
        <v>95</v>
      </c>
      <c r="B665" s="6" t="s">
        <v>13</v>
      </c>
      <c r="C665" s="6">
        <v>18223099</v>
      </c>
      <c r="D665" s="6">
        <v>328265</v>
      </c>
      <c r="E665" s="6">
        <v>14145547</v>
      </c>
      <c r="F665" s="6"/>
      <c r="G665" s="7">
        <f t="shared" si="40"/>
        <v>3749287</v>
      </c>
      <c r="H665" s="12">
        <f t="shared" si="41"/>
        <v>1.8013675939531471</v>
      </c>
      <c r="I665" s="12">
        <f t="shared" si="42"/>
        <v>77.624266871403165</v>
      </c>
      <c r="J665">
        <f t="shared" si="43"/>
        <v>27212</v>
      </c>
      <c r="M665" s="5" t="s">
        <v>95</v>
      </c>
      <c r="N665" s="7">
        <v>3749287</v>
      </c>
    </row>
    <row r="666" spans="1:14" x14ac:dyDescent="0.3">
      <c r="A666" s="5" t="s">
        <v>96</v>
      </c>
      <c r="B666" s="6" t="s">
        <v>13</v>
      </c>
      <c r="C666" s="6">
        <v>18271940</v>
      </c>
      <c r="D666" s="6">
        <v>370527</v>
      </c>
      <c r="E666" s="6">
        <v>15554703</v>
      </c>
      <c r="F666" s="6"/>
      <c r="G666" s="7">
        <f t="shared" si="40"/>
        <v>2346710</v>
      </c>
      <c r="H666" s="12">
        <f t="shared" si="41"/>
        <v>2.0278470704260196</v>
      </c>
      <c r="I666" s="12">
        <f t="shared" si="42"/>
        <v>85.128908041510641</v>
      </c>
      <c r="J666">
        <f t="shared" si="43"/>
        <v>48841</v>
      </c>
      <c r="M666" s="5" t="s">
        <v>96</v>
      </c>
      <c r="N666" s="7">
        <v>2346710</v>
      </c>
    </row>
    <row r="667" spans="1:14" x14ac:dyDescent="0.3">
      <c r="A667" s="5" t="s">
        <v>96</v>
      </c>
      <c r="B667" s="6" t="s">
        <v>13</v>
      </c>
      <c r="C667" s="6">
        <v>18299430</v>
      </c>
      <c r="D667" s="6">
        <v>443339</v>
      </c>
      <c r="E667" s="6">
        <v>13917052</v>
      </c>
      <c r="F667" s="6"/>
      <c r="G667" s="7">
        <f t="shared" si="40"/>
        <v>3939039</v>
      </c>
      <c r="H667" s="12">
        <f t="shared" si="41"/>
        <v>2.4226929472666638</v>
      </c>
      <c r="I667" s="12">
        <f t="shared" si="42"/>
        <v>76.05183330846917</v>
      </c>
      <c r="J667">
        <f t="shared" si="43"/>
        <v>27490</v>
      </c>
      <c r="M667" s="5" t="s">
        <v>96</v>
      </c>
      <c r="N667" s="7">
        <v>3939039</v>
      </c>
    </row>
    <row r="668" spans="1:14" x14ac:dyDescent="0.3">
      <c r="A668" s="5" t="s">
        <v>96</v>
      </c>
      <c r="B668" s="6" t="s">
        <v>13</v>
      </c>
      <c r="C668" s="6">
        <v>18305188</v>
      </c>
      <c r="D668" s="6">
        <v>226011</v>
      </c>
      <c r="E668" s="6">
        <v>13486694</v>
      </c>
      <c r="F668" s="6"/>
      <c r="G668" s="7">
        <f t="shared" si="40"/>
        <v>4592483</v>
      </c>
      <c r="H668" s="12">
        <f t="shared" si="41"/>
        <v>1.2346827576968891</v>
      </c>
      <c r="I668" s="12">
        <f t="shared" si="42"/>
        <v>73.676894222555916</v>
      </c>
      <c r="J668">
        <f t="shared" si="43"/>
        <v>5758</v>
      </c>
      <c r="M668" s="5" t="s">
        <v>96</v>
      </c>
      <c r="N668" s="7">
        <v>4592483</v>
      </c>
    </row>
    <row r="669" spans="1:14" x14ac:dyDescent="0.3">
      <c r="A669" s="5" t="s">
        <v>96</v>
      </c>
      <c r="B669" s="6" t="s">
        <v>13</v>
      </c>
      <c r="C669" s="6">
        <v>18346326</v>
      </c>
      <c r="D669" s="6">
        <v>291576</v>
      </c>
      <c r="E669" s="6">
        <v>13718753</v>
      </c>
      <c r="F669" s="6"/>
      <c r="G669" s="7">
        <f t="shared" si="40"/>
        <v>4335997</v>
      </c>
      <c r="H669" s="12">
        <f t="shared" si="41"/>
        <v>1.5892882313330743</v>
      </c>
      <c r="I669" s="12">
        <f t="shared" si="42"/>
        <v>74.776568343983413</v>
      </c>
      <c r="J669">
        <f t="shared" si="43"/>
        <v>41138</v>
      </c>
      <c r="M669" s="5" t="s">
        <v>96</v>
      </c>
      <c r="N669" s="7">
        <v>4335997</v>
      </c>
    </row>
    <row r="670" spans="1:14" x14ac:dyDescent="0.3">
      <c r="A670" s="5" t="s">
        <v>96</v>
      </c>
      <c r="B670" s="6" t="s">
        <v>13</v>
      </c>
      <c r="C670" s="6">
        <v>18348550</v>
      </c>
      <c r="D670" s="6">
        <v>269497</v>
      </c>
      <c r="E670" s="6">
        <v>15927297</v>
      </c>
      <c r="F670" s="6"/>
      <c r="G670" s="7">
        <f t="shared" si="40"/>
        <v>2151756</v>
      </c>
      <c r="H670" s="12">
        <f t="shared" si="41"/>
        <v>1.468764561777361</v>
      </c>
      <c r="I670" s="12">
        <f t="shared" si="42"/>
        <v>86.80411803657509</v>
      </c>
      <c r="J670">
        <f t="shared" si="43"/>
        <v>2224</v>
      </c>
      <c r="M670" s="5" t="s">
        <v>96</v>
      </c>
      <c r="N670" s="7">
        <v>2151756</v>
      </c>
    </row>
    <row r="671" spans="1:14" x14ac:dyDescent="0.3">
      <c r="A671" s="5" t="s">
        <v>96</v>
      </c>
      <c r="B671" s="6" t="s">
        <v>13</v>
      </c>
      <c r="C671" s="6">
        <v>18368092</v>
      </c>
      <c r="D671" s="6">
        <v>316782</v>
      </c>
      <c r="E671" s="6">
        <v>15043181</v>
      </c>
      <c r="F671" s="6"/>
      <c r="G671" s="7">
        <f t="shared" si="40"/>
        <v>3008129</v>
      </c>
      <c r="H671" s="12">
        <f t="shared" si="41"/>
        <v>1.7246320412593754</v>
      </c>
      <c r="I671" s="12">
        <f t="shared" si="42"/>
        <v>81.898441057459863</v>
      </c>
      <c r="J671">
        <f t="shared" si="43"/>
        <v>19542</v>
      </c>
      <c r="M671" s="5" t="s">
        <v>96</v>
      </c>
      <c r="N671" s="7">
        <v>3008129</v>
      </c>
    </row>
    <row r="672" spans="1:14" x14ac:dyDescent="0.3">
      <c r="A672" s="5" t="s">
        <v>96</v>
      </c>
      <c r="B672" s="6" t="s">
        <v>13</v>
      </c>
      <c r="C672" s="6">
        <v>18410496</v>
      </c>
      <c r="D672" s="6">
        <v>490841</v>
      </c>
      <c r="E672" s="6">
        <v>13042080</v>
      </c>
      <c r="F672" s="6"/>
      <c r="G672" s="7">
        <f t="shared" si="40"/>
        <v>4877575</v>
      </c>
      <c r="H672" s="12">
        <f t="shared" si="41"/>
        <v>2.6660932980838754</v>
      </c>
      <c r="I672" s="12">
        <f t="shared" si="42"/>
        <v>70.84045970298682</v>
      </c>
      <c r="J672">
        <f t="shared" si="43"/>
        <v>42404</v>
      </c>
      <c r="M672" s="5" t="s">
        <v>96</v>
      </c>
      <c r="N672" s="7">
        <v>4877575</v>
      </c>
    </row>
    <row r="673" spans="1:14" x14ac:dyDescent="0.3">
      <c r="A673" s="5" t="s">
        <v>96</v>
      </c>
      <c r="B673" s="6" t="s">
        <v>13</v>
      </c>
      <c r="C673" s="6">
        <v>18456349</v>
      </c>
      <c r="D673" s="6">
        <v>311988</v>
      </c>
      <c r="E673" s="6">
        <v>13247364</v>
      </c>
      <c r="F673" s="6"/>
      <c r="G673" s="7">
        <f t="shared" si="40"/>
        <v>4896997</v>
      </c>
      <c r="H673" s="12">
        <f t="shared" si="41"/>
        <v>1.6904101672546394</v>
      </c>
      <c r="I673" s="12">
        <f t="shared" si="42"/>
        <v>71.776731140053755</v>
      </c>
      <c r="J673">
        <f t="shared" si="43"/>
        <v>45853</v>
      </c>
      <c r="M673" s="5" t="s">
        <v>96</v>
      </c>
      <c r="N673" s="7">
        <v>4896997</v>
      </c>
    </row>
    <row r="674" spans="1:14" x14ac:dyDescent="0.3">
      <c r="A674" s="5" t="s">
        <v>97</v>
      </c>
      <c r="B674" s="6" t="s">
        <v>13</v>
      </c>
      <c r="C674" s="6">
        <v>18478668</v>
      </c>
      <c r="D674" s="6">
        <v>457838</v>
      </c>
      <c r="E674" s="6">
        <v>14671064</v>
      </c>
      <c r="F674" s="6"/>
      <c r="G674" s="7">
        <f t="shared" si="40"/>
        <v>3349766</v>
      </c>
      <c r="H674" s="12">
        <f t="shared" si="41"/>
        <v>2.4776569393421646</v>
      </c>
      <c r="I674" s="12">
        <f t="shared" si="42"/>
        <v>79.394597056454501</v>
      </c>
      <c r="J674">
        <f t="shared" si="43"/>
        <v>22319</v>
      </c>
      <c r="M674" s="5" t="s">
        <v>97</v>
      </c>
      <c r="N674" s="7">
        <v>3349766</v>
      </c>
    </row>
    <row r="675" spans="1:14" x14ac:dyDescent="0.3">
      <c r="A675" s="5" t="s">
        <v>97</v>
      </c>
      <c r="B675" s="6" t="s">
        <v>13</v>
      </c>
      <c r="C675" s="6">
        <v>18525766</v>
      </c>
      <c r="D675" s="6">
        <v>346270</v>
      </c>
      <c r="E675" s="6">
        <v>14691189</v>
      </c>
      <c r="F675" s="6"/>
      <c r="G675" s="7">
        <f t="shared" si="40"/>
        <v>3488307</v>
      </c>
      <c r="H675" s="12">
        <f t="shared" si="41"/>
        <v>1.8691264911799059</v>
      </c>
      <c r="I675" s="12">
        <f t="shared" si="42"/>
        <v>79.301384892802815</v>
      </c>
      <c r="J675">
        <f t="shared" si="43"/>
        <v>47098</v>
      </c>
      <c r="M675" s="5" t="s">
        <v>97</v>
      </c>
      <c r="N675" s="7">
        <v>3488307</v>
      </c>
    </row>
    <row r="676" spans="1:14" x14ac:dyDescent="0.3">
      <c r="A676" s="5" t="s">
        <v>97</v>
      </c>
      <c r="B676" s="6" t="s">
        <v>13</v>
      </c>
      <c r="C676" s="6">
        <v>18550362</v>
      </c>
      <c r="D676" s="6">
        <v>274625</v>
      </c>
      <c r="E676" s="6">
        <v>16335888</v>
      </c>
      <c r="F676" s="6"/>
      <c r="G676" s="7">
        <f t="shared" si="40"/>
        <v>1939849</v>
      </c>
      <c r="H676" s="12">
        <f t="shared" si="41"/>
        <v>1.4804293307052443</v>
      </c>
      <c r="I676" s="12">
        <f t="shared" si="42"/>
        <v>88.062367731691708</v>
      </c>
      <c r="J676">
        <f t="shared" si="43"/>
        <v>24596</v>
      </c>
      <c r="M676" s="5" t="s">
        <v>97</v>
      </c>
      <c r="N676" s="7">
        <v>1939849</v>
      </c>
    </row>
    <row r="677" spans="1:14" x14ac:dyDescent="0.3">
      <c r="A677" s="5" t="s">
        <v>97</v>
      </c>
      <c r="B677" s="6" t="s">
        <v>13</v>
      </c>
      <c r="C677" s="6">
        <v>18584775</v>
      </c>
      <c r="D677" s="6">
        <v>482425</v>
      </c>
      <c r="E677" s="6">
        <v>13658082</v>
      </c>
      <c r="F677" s="6"/>
      <c r="G677" s="7">
        <f t="shared" si="40"/>
        <v>4444268</v>
      </c>
      <c r="H677" s="12">
        <f t="shared" si="41"/>
        <v>2.5958075898147812</v>
      </c>
      <c r="I677" s="12">
        <f t="shared" si="42"/>
        <v>73.490704084391652</v>
      </c>
      <c r="J677">
        <f t="shared" si="43"/>
        <v>34413</v>
      </c>
      <c r="M677" s="5" t="s">
        <v>97</v>
      </c>
      <c r="N677" s="7">
        <v>4444268</v>
      </c>
    </row>
    <row r="678" spans="1:14" x14ac:dyDescent="0.3">
      <c r="A678" s="5" t="s">
        <v>97</v>
      </c>
      <c r="B678" s="6" t="s">
        <v>13</v>
      </c>
      <c r="C678" s="6">
        <v>18609506</v>
      </c>
      <c r="D678" s="6">
        <v>259554</v>
      </c>
      <c r="E678" s="6">
        <v>14964526</v>
      </c>
      <c r="F678" s="6"/>
      <c r="G678" s="7">
        <f t="shared" si="40"/>
        <v>3385426</v>
      </c>
      <c r="H678" s="12">
        <f t="shared" si="41"/>
        <v>1.394738796397927</v>
      </c>
      <c r="I678" s="12">
        <f t="shared" si="42"/>
        <v>80.413343589023796</v>
      </c>
      <c r="J678">
        <f t="shared" si="43"/>
        <v>24731</v>
      </c>
      <c r="M678" s="5" t="s">
        <v>97</v>
      </c>
      <c r="N678" s="7">
        <v>3385426</v>
      </c>
    </row>
    <row r="679" spans="1:14" x14ac:dyDescent="0.3">
      <c r="A679" s="5" t="s">
        <v>97</v>
      </c>
      <c r="B679" s="6" t="s">
        <v>13</v>
      </c>
      <c r="C679" s="6">
        <v>18646550</v>
      </c>
      <c r="D679" s="6">
        <v>471625</v>
      </c>
      <c r="E679" s="6">
        <v>16607070</v>
      </c>
      <c r="F679" s="6"/>
      <c r="G679" s="7">
        <f t="shared" si="40"/>
        <v>1567855</v>
      </c>
      <c r="H679" s="12">
        <f t="shared" si="41"/>
        <v>2.5292882597585074</v>
      </c>
      <c r="I679" s="12">
        <f t="shared" si="42"/>
        <v>89.062427097774119</v>
      </c>
      <c r="J679">
        <f t="shared" si="43"/>
        <v>37044</v>
      </c>
      <c r="M679" s="5" t="s">
        <v>97</v>
      </c>
      <c r="N679" s="7">
        <v>1567855</v>
      </c>
    </row>
    <row r="680" spans="1:14" x14ac:dyDescent="0.3">
      <c r="A680" s="5" t="s">
        <v>97</v>
      </c>
      <c r="B680" s="6" t="s">
        <v>13</v>
      </c>
      <c r="C680" s="6">
        <v>18659569</v>
      </c>
      <c r="D680" s="6">
        <v>507796</v>
      </c>
      <c r="E680" s="6">
        <v>13822427</v>
      </c>
      <c r="F680" s="6"/>
      <c r="G680" s="7">
        <f t="shared" si="40"/>
        <v>4329346</v>
      </c>
      <c r="H680" s="12">
        <f t="shared" si="41"/>
        <v>2.7213704668098178</v>
      </c>
      <c r="I680" s="12">
        <f t="shared" si="42"/>
        <v>74.076882483191326</v>
      </c>
      <c r="J680">
        <f t="shared" si="43"/>
        <v>13019</v>
      </c>
      <c r="M680" s="5" t="s">
        <v>97</v>
      </c>
      <c r="N680" s="7">
        <v>4329346</v>
      </c>
    </row>
    <row r="681" spans="1:14" x14ac:dyDescent="0.3">
      <c r="A681" s="5" t="s">
        <v>97</v>
      </c>
      <c r="B681" s="6" t="s">
        <v>13</v>
      </c>
      <c r="C681" s="6">
        <v>18705367</v>
      </c>
      <c r="D681" s="6">
        <v>227588</v>
      </c>
      <c r="E681" s="6">
        <v>15902045</v>
      </c>
      <c r="F681" s="6"/>
      <c r="G681" s="7">
        <f t="shared" si="40"/>
        <v>2575734</v>
      </c>
      <c r="H681" s="12">
        <f t="shared" si="41"/>
        <v>1.2166989292431418</v>
      </c>
      <c r="I681" s="12">
        <f t="shared" si="42"/>
        <v>85.013274532384202</v>
      </c>
      <c r="J681">
        <f t="shared" si="43"/>
        <v>45798</v>
      </c>
      <c r="M681" s="5" t="s">
        <v>97</v>
      </c>
      <c r="N681" s="7">
        <v>2575734</v>
      </c>
    </row>
    <row r="682" spans="1:14" x14ac:dyDescent="0.3">
      <c r="A682" s="5" t="s">
        <v>98</v>
      </c>
      <c r="B682" s="6" t="s">
        <v>13</v>
      </c>
      <c r="C682" s="6">
        <v>18731323</v>
      </c>
      <c r="D682" s="6">
        <v>272596</v>
      </c>
      <c r="E682" s="6">
        <v>14715614</v>
      </c>
      <c r="F682" s="6"/>
      <c r="G682" s="7">
        <f t="shared" si="40"/>
        <v>3743113</v>
      </c>
      <c r="H682" s="12">
        <f t="shared" si="41"/>
        <v>1.4552949623472939</v>
      </c>
      <c r="I682" s="12">
        <f t="shared" si="42"/>
        <v>78.561530330772683</v>
      </c>
      <c r="J682">
        <f t="shared" si="43"/>
        <v>25956</v>
      </c>
      <c r="M682" s="5" t="s">
        <v>98</v>
      </c>
      <c r="N682" s="7">
        <v>3743113</v>
      </c>
    </row>
    <row r="683" spans="1:14" x14ac:dyDescent="0.3">
      <c r="A683" s="5" t="s">
        <v>98</v>
      </c>
      <c r="B683" s="6" t="s">
        <v>13</v>
      </c>
      <c r="C683" s="6">
        <v>18776972</v>
      </c>
      <c r="D683" s="6">
        <v>265531</v>
      </c>
      <c r="E683" s="6">
        <v>16524626</v>
      </c>
      <c r="F683" s="6"/>
      <c r="G683" s="7">
        <f t="shared" si="40"/>
        <v>1986815</v>
      </c>
      <c r="H683" s="12">
        <f t="shared" si="41"/>
        <v>1.414131096323731</v>
      </c>
      <c r="I683" s="12">
        <f t="shared" si="42"/>
        <v>88.004743256793489</v>
      </c>
      <c r="J683">
        <f t="shared" si="43"/>
        <v>45649</v>
      </c>
      <c r="M683" s="5" t="s">
        <v>98</v>
      </c>
      <c r="N683" s="7">
        <v>1986815</v>
      </c>
    </row>
    <row r="684" spans="1:14" x14ac:dyDescent="0.3">
      <c r="A684" s="5" t="s">
        <v>98</v>
      </c>
      <c r="B684" s="6" t="s">
        <v>13</v>
      </c>
      <c r="C684" s="6">
        <v>18825705</v>
      </c>
      <c r="D684" s="6">
        <v>294247</v>
      </c>
      <c r="E684" s="6">
        <v>13938947</v>
      </c>
      <c r="F684" s="6"/>
      <c r="G684" s="7">
        <f t="shared" si="40"/>
        <v>4592511</v>
      </c>
      <c r="H684" s="12">
        <f t="shared" si="41"/>
        <v>1.5630065381349596</v>
      </c>
      <c r="I684" s="12">
        <f t="shared" si="42"/>
        <v>74.042098290608507</v>
      </c>
      <c r="J684">
        <f t="shared" si="43"/>
        <v>48733</v>
      </c>
      <c r="M684" s="5" t="s">
        <v>98</v>
      </c>
      <c r="N684" s="7">
        <v>4592511</v>
      </c>
    </row>
    <row r="685" spans="1:14" x14ac:dyDescent="0.3">
      <c r="A685" s="5" t="s">
        <v>98</v>
      </c>
      <c r="B685" s="6" t="s">
        <v>13</v>
      </c>
      <c r="C685" s="6">
        <v>18873905</v>
      </c>
      <c r="D685" s="6">
        <v>440962</v>
      </c>
      <c r="E685" s="6">
        <v>13827142</v>
      </c>
      <c r="F685" s="6"/>
      <c r="G685" s="7">
        <f t="shared" si="40"/>
        <v>4605801</v>
      </c>
      <c r="H685" s="12">
        <f t="shared" si="41"/>
        <v>2.3363580562686947</v>
      </c>
      <c r="I685" s="12">
        <f t="shared" si="42"/>
        <v>73.260631543922685</v>
      </c>
      <c r="J685">
        <f t="shared" si="43"/>
        <v>48200</v>
      </c>
      <c r="M685" s="5" t="s">
        <v>98</v>
      </c>
      <c r="N685" s="7">
        <v>4605801</v>
      </c>
    </row>
    <row r="686" spans="1:14" x14ac:dyDescent="0.3">
      <c r="A686" s="5" t="s">
        <v>98</v>
      </c>
      <c r="B686" s="6" t="s">
        <v>13</v>
      </c>
      <c r="C686" s="6">
        <v>18893470</v>
      </c>
      <c r="D686" s="6">
        <v>281073</v>
      </c>
      <c r="E686" s="6">
        <v>16310920</v>
      </c>
      <c r="F686" s="6"/>
      <c r="G686" s="7">
        <f t="shared" si="40"/>
        <v>2301477</v>
      </c>
      <c r="H686" s="12">
        <f t="shared" si="41"/>
        <v>1.487672725020867</v>
      </c>
      <c r="I686" s="12">
        <f t="shared" si="42"/>
        <v>86.330991607153166</v>
      </c>
      <c r="J686">
        <f t="shared" si="43"/>
        <v>19565</v>
      </c>
      <c r="M686" s="5" t="s">
        <v>98</v>
      </c>
      <c r="N686" s="7">
        <v>2301477</v>
      </c>
    </row>
    <row r="687" spans="1:14" x14ac:dyDescent="0.3">
      <c r="A687" s="5" t="s">
        <v>98</v>
      </c>
      <c r="B687" s="6" t="s">
        <v>13</v>
      </c>
      <c r="C687" s="6">
        <v>18908336</v>
      </c>
      <c r="D687" s="6">
        <v>326943</v>
      </c>
      <c r="E687" s="6">
        <v>13338858</v>
      </c>
      <c r="F687" s="6"/>
      <c r="G687" s="7">
        <f t="shared" si="40"/>
        <v>5242535</v>
      </c>
      <c r="H687" s="12">
        <f t="shared" si="41"/>
        <v>1.7290945115424223</v>
      </c>
      <c r="I687" s="12">
        <f t="shared" si="42"/>
        <v>70.544853867627495</v>
      </c>
      <c r="J687">
        <f t="shared" si="43"/>
        <v>14866</v>
      </c>
      <c r="M687" s="5" t="s">
        <v>98</v>
      </c>
      <c r="N687" s="7">
        <v>5242535</v>
      </c>
    </row>
    <row r="688" spans="1:14" x14ac:dyDescent="0.3">
      <c r="A688" s="5" t="s">
        <v>98</v>
      </c>
      <c r="B688" s="6" t="s">
        <v>13</v>
      </c>
      <c r="C688" s="6">
        <v>18926595</v>
      </c>
      <c r="D688" s="6">
        <v>265485</v>
      </c>
      <c r="E688" s="6">
        <v>14746125</v>
      </c>
      <c r="F688" s="6"/>
      <c r="G688" s="7">
        <f t="shared" si="40"/>
        <v>3914985</v>
      </c>
      <c r="H688" s="12">
        <f t="shared" si="41"/>
        <v>1.4027087281151205</v>
      </c>
      <c r="I688" s="12">
        <f t="shared" si="42"/>
        <v>77.912191812631903</v>
      </c>
      <c r="J688">
        <f t="shared" si="43"/>
        <v>18259</v>
      </c>
      <c r="M688" s="5" t="s">
        <v>98</v>
      </c>
      <c r="N688" s="7">
        <v>3914985</v>
      </c>
    </row>
    <row r="689" spans="1:14" x14ac:dyDescent="0.3">
      <c r="A689" s="5" t="s">
        <v>98</v>
      </c>
      <c r="B689" s="6" t="s">
        <v>13</v>
      </c>
      <c r="C689" s="6">
        <v>18928511</v>
      </c>
      <c r="D689" s="6">
        <v>519567</v>
      </c>
      <c r="E689" s="6">
        <v>16035227</v>
      </c>
      <c r="F689" s="6"/>
      <c r="G689" s="7">
        <f t="shared" si="40"/>
        <v>2373717</v>
      </c>
      <c r="H689" s="12">
        <f t="shared" si="41"/>
        <v>2.7448910270860711</v>
      </c>
      <c r="I689" s="12">
        <f t="shared" si="42"/>
        <v>84.714677240063935</v>
      </c>
      <c r="J689">
        <f t="shared" si="43"/>
        <v>1916</v>
      </c>
      <c r="M689" s="5" t="s">
        <v>98</v>
      </c>
      <c r="N689" s="7">
        <v>2373717</v>
      </c>
    </row>
    <row r="690" spans="1:14" x14ac:dyDescent="0.3">
      <c r="A690" s="5" t="s">
        <v>99</v>
      </c>
      <c r="B690" s="6" t="s">
        <v>13</v>
      </c>
      <c r="C690" s="6">
        <v>18946163</v>
      </c>
      <c r="D690" s="6">
        <v>309584</v>
      </c>
      <c r="E690" s="6">
        <v>16638994</v>
      </c>
      <c r="F690" s="6"/>
      <c r="G690" s="7">
        <f t="shared" si="40"/>
        <v>1997585</v>
      </c>
      <c r="H690" s="12">
        <f t="shared" si="41"/>
        <v>1.6340195109690547</v>
      </c>
      <c r="I690" s="12">
        <f t="shared" si="42"/>
        <v>87.822499996437273</v>
      </c>
      <c r="J690">
        <f t="shared" si="43"/>
        <v>17652</v>
      </c>
      <c r="M690" s="5" t="s">
        <v>99</v>
      </c>
      <c r="N690" s="7">
        <v>1997585</v>
      </c>
    </row>
    <row r="691" spans="1:14" x14ac:dyDescent="0.3">
      <c r="A691" s="5" t="s">
        <v>99</v>
      </c>
      <c r="B691" s="6" t="s">
        <v>13</v>
      </c>
      <c r="C691" s="6">
        <v>18976836</v>
      </c>
      <c r="D691" s="6">
        <v>207761</v>
      </c>
      <c r="E691" s="6">
        <v>16995883</v>
      </c>
      <c r="F691" s="6"/>
      <c r="G691" s="7">
        <f t="shared" si="40"/>
        <v>1773192</v>
      </c>
      <c r="H691" s="12">
        <f t="shared" si="41"/>
        <v>1.0948136981317644</v>
      </c>
      <c r="I691" s="12">
        <f t="shared" si="42"/>
        <v>89.561205039659924</v>
      </c>
      <c r="J691">
        <f t="shared" si="43"/>
        <v>30673</v>
      </c>
      <c r="M691" s="5" t="s">
        <v>99</v>
      </c>
      <c r="N691" s="7">
        <v>1773192</v>
      </c>
    </row>
    <row r="692" spans="1:14" x14ac:dyDescent="0.3">
      <c r="A692" s="5" t="s">
        <v>99</v>
      </c>
      <c r="B692" s="6" t="s">
        <v>13</v>
      </c>
      <c r="C692" s="6">
        <v>18995069</v>
      </c>
      <c r="D692" s="6">
        <v>208519</v>
      </c>
      <c r="E692" s="6">
        <v>14430865</v>
      </c>
      <c r="F692" s="6"/>
      <c r="G692" s="7">
        <f t="shared" si="40"/>
        <v>4355685</v>
      </c>
      <c r="H692" s="12">
        <f t="shared" si="41"/>
        <v>1.0977533169266191</v>
      </c>
      <c r="I692" s="12">
        <f t="shared" si="42"/>
        <v>75.971637691866249</v>
      </c>
      <c r="J692">
        <f t="shared" si="43"/>
        <v>18233</v>
      </c>
      <c r="M692" s="5" t="s">
        <v>99</v>
      </c>
      <c r="N692" s="7">
        <v>4355685</v>
      </c>
    </row>
    <row r="693" spans="1:14" x14ac:dyDescent="0.3">
      <c r="A693" s="5" t="s">
        <v>99</v>
      </c>
      <c r="B693" s="6" t="s">
        <v>13</v>
      </c>
      <c r="C693" s="6">
        <v>19022340</v>
      </c>
      <c r="D693" s="6">
        <v>520535</v>
      </c>
      <c r="E693" s="6">
        <v>15014424</v>
      </c>
      <c r="F693" s="6"/>
      <c r="G693" s="7">
        <f t="shared" si="40"/>
        <v>3487381</v>
      </c>
      <c r="H693" s="12">
        <f t="shared" si="41"/>
        <v>2.736440416899288</v>
      </c>
      <c r="I693" s="12">
        <f t="shared" si="42"/>
        <v>78.930478584653613</v>
      </c>
      <c r="J693">
        <f t="shared" si="43"/>
        <v>27271</v>
      </c>
      <c r="M693" s="5" t="s">
        <v>99</v>
      </c>
      <c r="N693" s="7">
        <v>3487381</v>
      </c>
    </row>
    <row r="694" spans="1:14" x14ac:dyDescent="0.3">
      <c r="A694" s="5" t="s">
        <v>99</v>
      </c>
      <c r="B694" s="6" t="s">
        <v>13</v>
      </c>
      <c r="C694" s="6">
        <v>19043753</v>
      </c>
      <c r="D694" s="6">
        <v>562131</v>
      </c>
      <c r="E694" s="6">
        <v>16004772</v>
      </c>
      <c r="F694" s="6"/>
      <c r="G694" s="7">
        <f t="shared" si="40"/>
        <v>2476850</v>
      </c>
      <c r="H694" s="12">
        <f t="shared" si="41"/>
        <v>2.9517868668008873</v>
      </c>
      <c r="I694" s="12">
        <f t="shared" si="42"/>
        <v>84.042110817127281</v>
      </c>
      <c r="J694">
        <f t="shared" si="43"/>
        <v>21413</v>
      </c>
      <c r="M694" s="5" t="s">
        <v>99</v>
      </c>
      <c r="N694" s="7">
        <v>2476850</v>
      </c>
    </row>
    <row r="695" spans="1:14" x14ac:dyDescent="0.3">
      <c r="A695" s="5" t="s">
        <v>99</v>
      </c>
      <c r="B695" s="6" t="s">
        <v>13</v>
      </c>
      <c r="C695" s="6">
        <v>19048378</v>
      </c>
      <c r="D695" s="6">
        <v>412954</v>
      </c>
      <c r="E695" s="6">
        <v>15601342</v>
      </c>
      <c r="F695" s="6"/>
      <c r="G695" s="7">
        <f t="shared" si="40"/>
        <v>3034082</v>
      </c>
      <c r="H695" s="12">
        <f t="shared" si="41"/>
        <v>2.1679221191431628</v>
      </c>
      <c r="I695" s="12">
        <f t="shared" si="42"/>
        <v>81.903782043804469</v>
      </c>
      <c r="J695">
        <f t="shared" si="43"/>
        <v>4625</v>
      </c>
      <c r="M695" s="5" t="s">
        <v>99</v>
      </c>
      <c r="N695" s="7">
        <v>3034082</v>
      </c>
    </row>
    <row r="696" spans="1:14" x14ac:dyDescent="0.3">
      <c r="A696" s="5" t="s">
        <v>99</v>
      </c>
      <c r="B696" s="6" t="s">
        <v>13</v>
      </c>
      <c r="C696" s="6">
        <v>19098037</v>
      </c>
      <c r="D696" s="6">
        <v>480101</v>
      </c>
      <c r="E696" s="6">
        <v>14663719</v>
      </c>
      <c r="F696" s="6"/>
      <c r="G696" s="7">
        <f t="shared" si="40"/>
        <v>3954217</v>
      </c>
      <c r="H696" s="12">
        <f t="shared" si="41"/>
        <v>2.5138761643408691</v>
      </c>
      <c r="I696" s="12">
        <f t="shared" si="42"/>
        <v>76.781289092695758</v>
      </c>
      <c r="J696">
        <f t="shared" si="43"/>
        <v>49659</v>
      </c>
      <c r="M696" s="5" t="s">
        <v>99</v>
      </c>
      <c r="N696" s="7">
        <v>3954217</v>
      </c>
    </row>
    <row r="697" spans="1:14" x14ac:dyDescent="0.3">
      <c r="A697" s="5" t="s">
        <v>99</v>
      </c>
      <c r="B697" s="6" t="s">
        <v>13</v>
      </c>
      <c r="C697" s="6">
        <v>19141315</v>
      </c>
      <c r="D697" s="6">
        <v>290396</v>
      </c>
      <c r="E697" s="6">
        <v>14884485</v>
      </c>
      <c r="F697" s="6"/>
      <c r="G697" s="7">
        <f t="shared" si="40"/>
        <v>3966434</v>
      </c>
      <c r="H697" s="12">
        <f t="shared" si="41"/>
        <v>1.5171162482828375</v>
      </c>
      <c r="I697" s="12">
        <f t="shared" si="42"/>
        <v>77.76103679397157</v>
      </c>
      <c r="J697">
        <f t="shared" si="43"/>
        <v>43278</v>
      </c>
      <c r="M697" s="5" t="s">
        <v>99</v>
      </c>
      <c r="N697" s="7">
        <v>3966434</v>
      </c>
    </row>
    <row r="698" spans="1:14" x14ac:dyDescent="0.3">
      <c r="A698" s="5" t="s">
        <v>100</v>
      </c>
      <c r="B698" s="6" t="s">
        <v>13</v>
      </c>
      <c r="C698" s="6">
        <v>19159639</v>
      </c>
      <c r="D698" s="6">
        <v>204277</v>
      </c>
      <c r="E698" s="6">
        <v>15591227</v>
      </c>
      <c r="F698" s="6"/>
      <c r="G698" s="7">
        <f t="shared" si="40"/>
        <v>3364135</v>
      </c>
      <c r="H698" s="12">
        <f t="shared" si="41"/>
        <v>1.0661839714203383</v>
      </c>
      <c r="I698" s="12">
        <f t="shared" si="42"/>
        <v>81.375369337595558</v>
      </c>
      <c r="J698">
        <f t="shared" si="43"/>
        <v>18324</v>
      </c>
      <c r="M698" s="5" t="s">
        <v>100</v>
      </c>
      <c r="N698" s="7">
        <v>3364135</v>
      </c>
    </row>
    <row r="699" spans="1:14" x14ac:dyDescent="0.3">
      <c r="A699" s="5" t="s">
        <v>100</v>
      </c>
      <c r="B699" s="6" t="s">
        <v>13</v>
      </c>
      <c r="C699" s="6">
        <v>19205866</v>
      </c>
      <c r="D699" s="6">
        <v>215579</v>
      </c>
      <c r="E699" s="6">
        <v>16776004</v>
      </c>
      <c r="F699" s="6"/>
      <c r="G699" s="7">
        <f t="shared" si="40"/>
        <v>2214283</v>
      </c>
      <c r="H699" s="12">
        <f t="shared" si="41"/>
        <v>1.1224643554214113</v>
      </c>
      <c r="I699" s="12">
        <f t="shared" si="42"/>
        <v>87.348334097509579</v>
      </c>
      <c r="J699">
        <f t="shared" si="43"/>
        <v>46227</v>
      </c>
      <c r="M699" s="5" t="s">
        <v>100</v>
      </c>
      <c r="N699" s="7">
        <v>2214283</v>
      </c>
    </row>
    <row r="700" spans="1:14" x14ac:dyDescent="0.3">
      <c r="A700" s="5" t="s">
        <v>100</v>
      </c>
      <c r="B700" s="6" t="s">
        <v>13</v>
      </c>
      <c r="C700" s="6">
        <v>19222904</v>
      </c>
      <c r="D700" s="6">
        <v>346640</v>
      </c>
      <c r="E700" s="6">
        <v>15477675</v>
      </c>
      <c r="F700" s="6"/>
      <c r="G700" s="7">
        <f t="shared" si="40"/>
        <v>3398589</v>
      </c>
      <c r="H700" s="12">
        <f t="shared" si="41"/>
        <v>1.8032655211720352</v>
      </c>
      <c r="I700" s="12">
        <f t="shared" si="42"/>
        <v>80.51684074372946</v>
      </c>
      <c r="J700">
        <f t="shared" si="43"/>
        <v>17038</v>
      </c>
      <c r="M700" s="5" t="s">
        <v>100</v>
      </c>
      <c r="N700" s="7">
        <v>3398589</v>
      </c>
    </row>
    <row r="701" spans="1:14" x14ac:dyDescent="0.3">
      <c r="A701" s="5" t="s">
        <v>100</v>
      </c>
      <c r="B701" s="6" t="s">
        <v>13</v>
      </c>
      <c r="C701" s="6">
        <v>19229525</v>
      </c>
      <c r="D701" s="6">
        <v>470359</v>
      </c>
      <c r="E701" s="6">
        <v>13637916</v>
      </c>
      <c r="F701" s="6"/>
      <c r="G701" s="7">
        <f t="shared" si="40"/>
        <v>5121250</v>
      </c>
      <c r="H701" s="12">
        <f t="shared" si="41"/>
        <v>2.4460250578212412</v>
      </c>
      <c r="I701" s="12">
        <f t="shared" si="42"/>
        <v>70.921751837343876</v>
      </c>
      <c r="J701">
        <f t="shared" si="43"/>
        <v>6621</v>
      </c>
      <c r="M701" s="5" t="s">
        <v>100</v>
      </c>
      <c r="N701" s="7">
        <v>5121250</v>
      </c>
    </row>
    <row r="702" spans="1:14" x14ac:dyDescent="0.3">
      <c r="A702" s="5" t="s">
        <v>100</v>
      </c>
      <c r="B702" s="6" t="s">
        <v>13</v>
      </c>
      <c r="C702" s="6">
        <v>19253089</v>
      </c>
      <c r="D702" s="6">
        <v>304752</v>
      </c>
      <c r="E702" s="6">
        <v>14213940</v>
      </c>
      <c r="F702" s="6"/>
      <c r="G702" s="7">
        <f t="shared" si="40"/>
        <v>4734397</v>
      </c>
      <c r="H702" s="12">
        <f t="shared" si="41"/>
        <v>1.5828732729589523</v>
      </c>
      <c r="I702" s="12">
        <f t="shared" si="42"/>
        <v>73.826802545814857</v>
      </c>
      <c r="J702">
        <f t="shared" si="43"/>
        <v>23564</v>
      </c>
      <c r="M702" s="5" t="s">
        <v>100</v>
      </c>
      <c r="N702" s="7">
        <v>4734397</v>
      </c>
    </row>
    <row r="703" spans="1:14" x14ac:dyDescent="0.3">
      <c r="A703" s="5" t="s">
        <v>100</v>
      </c>
      <c r="B703" s="6" t="s">
        <v>13</v>
      </c>
      <c r="C703" s="6">
        <v>19302891</v>
      </c>
      <c r="D703" s="6">
        <v>539475</v>
      </c>
      <c r="E703" s="6">
        <v>15044717</v>
      </c>
      <c r="F703" s="6"/>
      <c r="G703" s="7">
        <f t="shared" si="40"/>
        <v>3718699</v>
      </c>
      <c r="H703" s="12">
        <f t="shared" si="41"/>
        <v>2.7947886148245877</v>
      </c>
      <c r="I703" s="12">
        <f t="shared" si="42"/>
        <v>77.940226673817932</v>
      </c>
      <c r="J703">
        <f t="shared" si="43"/>
        <v>49802</v>
      </c>
      <c r="M703" s="5" t="s">
        <v>100</v>
      </c>
      <c r="N703" s="7">
        <v>3718699</v>
      </c>
    </row>
    <row r="704" spans="1:14" x14ac:dyDescent="0.3">
      <c r="A704" s="5" t="s">
        <v>100</v>
      </c>
      <c r="B704" s="6" t="s">
        <v>13</v>
      </c>
      <c r="C704" s="6">
        <v>19310156</v>
      </c>
      <c r="D704" s="6">
        <v>236741</v>
      </c>
      <c r="E704" s="6">
        <v>14711478</v>
      </c>
      <c r="F704" s="6"/>
      <c r="G704" s="7">
        <f t="shared" si="40"/>
        <v>4361937</v>
      </c>
      <c r="H704" s="12">
        <f t="shared" si="41"/>
        <v>1.2259921670234046</v>
      </c>
      <c r="I704" s="12">
        <f t="shared" si="42"/>
        <v>76.185184625126794</v>
      </c>
      <c r="J704">
        <f t="shared" si="43"/>
        <v>7265</v>
      </c>
      <c r="M704" s="5" t="s">
        <v>100</v>
      </c>
      <c r="N704" s="7">
        <v>4361937</v>
      </c>
    </row>
    <row r="705" spans="1:14" x14ac:dyDescent="0.3">
      <c r="A705" s="5" t="s">
        <v>100</v>
      </c>
      <c r="B705" s="6" t="s">
        <v>13</v>
      </c>
      <c r="C705" s="6">
        <v>19356246</v>
      </c>
      <c r="D705" s="6">
        <v>303142</v>
      </c>
      <c r="E705" s="6">
        <v>15744764</v>
      </c>
      <c r="F705" s="6"/>
      <c r="G705" s="7">
        <f t="shared" si="40"/>
        <v>3308340</v>
      </c>
      <c r="H705" s="12">
        <f t="shared" si="41"/>
        <v>1.5661197940964378</v>
      </c>
      <c r="I705" s="12">
        <f t="shared" si="42"/>
        <v>81.342032954117244</v>
      </c>
      <c r="J705">
        <f t="shared" si="43"/>
        <v>46090</v>
      </c>
      <c r="M705" s="5" t="s">
        <v>100</v>
      </c>
      <c r="N705" s="7">
        <v>3308340</v>
      </c>
    </row>
    <row r="706" spans="1:14" x14ac:dyDescent="0.3">
      <c r="A706" s="5" t="s">
        <v>101</v>
      </c>
      <c r="B706" s="6" t="s">
        <v>13</v>
      </c>
      <c r="C706" s="6">
        <v>19389492</v>
      </c>
      <c r="D706" s="6">
        <v>301697</v>
      </c>
      <c r="E706" s="6">
        <v>16392146</v>
      </c>
      <c r="F706" s="6"/>
      <c r="G706" s="7">
        <f t="shared" si="40"/>
        <v>2695649</v>
      </c>
      <c r="H706" s="12">
        <f t="shared" si="41"/>
        <v>1.5559819720908623</v>
      </c>
      <c r="I706" s="12">
        <f t="shared" si="42"/>
        <v>84.541389738318045</v>
      </c>
      <c r="J706">
        <f t="shared" si="43"/>
        <v>33246</v>
      </c>
      <c r="M706" s="5" t="s">
        <v>101</v>
      </c>
      <c r="N706" s="7">
        <v>2695649</v>
      </c>
    </row>
    <row r="707" spans="1:14" x14ac:dyDescent="0.3">
      <c r="A707" s="5" t="s">
        <v>101</v>
      </c>
      <c r="B707" s="6" t="s">
        <v>13</v>
      </c>
      <c r="C707" s="6">
        <v>19401171</v>
      </c>
      <c r="D707" s="6">
        <v>211002</v>
      </c>
      <c r="E707" s="6">
        <v>16091114</v>
      </c>
      <c r="F707" s="6"/>
      <c r="G707" s="7">
        <f t="shared" ref="G707:G770" si="44" xml:space="preserve"> C707-D707-E707</f>
        <v>3099055</v>
      </c>
      <c r="H707" s="12">
        <f t="shared" ref="H707:H770" si="45">D707/C707*100</f>
        <v>1.0875735284225885</v>
      </c>
      <c r="I707" s="12">
        <f t="shared" ref="I707:I770" si="46">E707/C707*100</f>
        <v>82.938880338717695</v>
      </c>
      <c r="J707">
        <f t="shared" ref="J707:J770" si="47">IF(B707=B706,C707-C706,"")</f>
        <v>11679</v>
      </c>
      <c r="M707" s="5" t="s">
        <v>101</v>
      </c>
      <c r="N707" s="7">
        <v>3099055</v>
      </c>
    </row>
    <row r="708" spans="1:14" x14ac:dyDescent="0.3">
      <c r="A708" s="5" t="s">
        <v>101</v>
      </c>
      <c r="B708" s="6" t="s">
        <v>13</v>
      </c>
      <c r="C708" s="6">
        <v>19434022</v>
      </c>
      <c r="D708" s="6">
        <v>318434</v>
      </c>
      <c r="E708" s="6">
        <v>15410972</v>
      </c>
      <c r="F708" s="6"/>
      <c r="G708" s="7">
        <f t="shared" si="44"/>
        <v>3704616</v>
      </c>
      <c r="H708" s="12">
        <f t="shared" si="45"/>
        <v>1.638538846976709</v>
      </c>
      <c r="I708" s="12">
        <f t="shared" si="46"/>
        <v>79.298932562698553</v>
      </c>
      <c r="J708">
        <f t="shared" si="47"/>
        <v>32851</v>
      </c>
      <c r="M708" s="5" t="s">
        <v>101</v>
      </c>
      <c r="N708" s="7">
        <v>3704616</v>
      </c>
    </row>
    <row r="709" spans="1:14" x14ac:dyDescent="0.3">
      <c r="A709" s="5" t="s">
        <v>101</v>
      </c>
      <c r="B709" s="6" t="s">
        <v>13</v>
      </c>
      <c r="C709" s="6">
        <v>19458915</v>
      </c>
      <c r="D709" s="6">
        <v>541488</v>
      </c>
      <c r="E709" s="6">
        <v>14001993</v>
      </c>
      <c r="F709" s="6"/>
      <c r="G709" s="7">
        <f t="shared" si="44"/>
        <v>4915434</v>
      </c>
      <c r="H709" s="12">
        <f t="shared" si="45"/>
        <v>2.7827245249799386</v>
      </c>
      <c r="I709" s="12">
        <f t="shared" si="46"/>
        <v>71.956699538489161</v>
      </c>
      <c r="J709">
        <f t="shared" si="47"/>
        <v>24893</v>
      </c>
      <c r="M709" s="5" t="s">
        <v>101</v>
      </c>
      <c r="N709" s="7">
        <v>4915434</v>
      </c>
    </row>
    <row r="710" spans="1:14" x14ac:dyDescent="0.3">
      <c r="A710" s="5" t="s">
        <v>101</v>
      </c>
      <c r="B710" s="6" t="s">
        <v>13</v>
      </c>
      <c r="C710" s="6">
        <v>19465131</v>
      </c>
      <c r="D710" s="6">
        <v>477783</v>
      </c>
      <c r="E710" s="6">
        <v>15217025</v>
      </c>
      <c r="F710" s="6"/>
      <c r="G710" s="7">
        <f t="shared" si="44"/>
        <v>3770323</v>
      </c>
      <c r="H710" s="12">
        <f t="shared" si="45"/>
        <v>2.454558358739019</v>
      </c>
      <c r="I710" s="12">
        <f t="shared" si="46"/>
        <v>78.175816027130779</v>
      </c>
      <c r="J710">
        <f t="shared" si="47"/>
        <v>6216</v>
      </c>
      <c r="M710" s="5" t="s">
        <v>101</v>
      </c>
      <c r="N710" s="7">
        <v>3770323</v>
      </c>
    </row>
    <row r="711" spans="1:14" x14ac:dyDescent="0.3">
      <c r="A711" s="5" t="s">
        <v>101</v>
      </c>
      <c r="B711" s="6" t="s">
        <v>13</v>
      </c>
      <c r="C711" s="6">
        <v>19490863</v>
      </c>
      <c r="D711" s="6">
        <v>288965</v>
      </c>
      <c r="E711" s="6">
        <v>15950234</v>
      </c>
      <c r="F711" s="6"/>
      <c r="G711" s="7">
        <f t="shared" si="44"/>
        <v>3251664</v>
      </c>
      <c r="H711" s="12">
        <f t="shared" si="45"/>
        <v>1.48256647230038</v>
      </c>
      <c r="I711" s="12">
        <f t="shared" si="46"/>
        <v>81.834416464781469</v>
      </c>
      <c r="J711">
        <f t="shared" si="47"/>
        <v>25732</v>
      </c>
      <c r="M711" s="5" t="s">
        <v>101</v>
      </c>
      <c r="N711" s="7">
        <v>3251664</v>
      </c>
    </row>
    <row r="712" spans="1:14" x14ac:dyDescent="0.3">
      <c r="A712" s="5" t="s">
        <v>101</v>
      </c>
      <c r="B712" s="6" t="s">
        <v>13</v>
      </c>
      <c r="C712" s="6">
        <v>19508684</v>
      </c>
      <c r="D712" s="6">
        <v>220356</v>
      </c>
      <c r="E712" s="6">
        <v>16825478</v>
      </c>
      <c r="F712" s="6"/>
      <c r="G712" s="7">
        <f t="shared" si="44"/>
        <v>2462850</v>
      </c>
      <c r="H712" s="12">
        <f t="shared" si="45"/>
        <v>1.1295277528714904</v>
      </c>
      <c r="I712" s="12">
        <f t="shared" si="46"/>
        <v>86.246094303439435</v>
      </c>
      <c r="J712">
        <f t="shared" si="47"/>
        <v>17821</v>
      </c>
      <c r="M712" s="5" t="s">
        <v>101</v>
      </c>
      <c r="N712" s="7">
        <v>2462850</v>
      </c>
    </row>
    <row r="713" spans="1:14" x14ac:dyDescent="0.3">
      <c r="A713" s="5" t="s">
        <v>101</v>
      </c>
      <c r="B713" s="6" t="s">
        <v>13</v>
      </c>
      <c r="C713" s="6">
        <v>19535946</v>
      </c>
      <c r="D713" s="6">
        <v>313943</v>
      </c>
      <c r="E713" s="6">
        <v>14923540</v>
      </c>
      <c r="F713" s="6"/>
      <c r="G713" s="7">
        <f t="shared" si="44"/>
        <v>4298463</v>
      </c>
      <c r="H713" s="12">
        <f t="shared" si="45"/>
        <v>1.6070017802055758</v>
      </c>
      <c r="I713" s="12">
        <f t="shared" si="46"/>
        <v>76.390157917103181</v>
      </c>
      <c r="J713">
        <f t="shared" si="47"/>
        <v>27262</v>
      </c>
      <c r="M713" s="5" t="s">
        <v>101</v>
      </c>
      <c r="N713" s="7">
        <v>4298463</v>
      </c>
    </row>
    <row r="714" spans="1:14" x14ac:dyDescent="0.3">
      <c r="A714" s="5" t="s">
        <v>102</v>
      </c>
      <c r="B714" s="6" t="s">
        <v>13</v>
      </c>
      <c r="C714" s="6">
        <v>19584206</v>
      </c>
      <c r="D714" s="6">
        <v>291643</v>
      </c>
      <c r="E714" s="6">
        <v>17170997</v>
      </c>
      <c r="F714" s="6"/>
      <c r="G714" s="7">
        <f t="shared" si="44"/>
        <v>2121566</v>
      </c>
      <c r="H714" s="12">
        <f t="shared" si="45"/>
        <v>1.4891744909137496</v>
      </c>
      <c r="I714" s="12">
        <f t="shared" si="46"/>
        <v>87.677779737406766</v>
      </c>
      <c r="J714">
        <f t="shared" si="47"/>
        <v>48260</v>
      </c>
      <c r="M714" s="5" t="s">
        <v>102</v>
      </c>
      <c r="N714" s="7">
        <v>2121566</v>
      </c>
    </row>
    <row r="715" spans="1:14" x14ac:dyDescent="0.3">
      <c r="A715" s="5" t="s">
        <v>102</v>
      </c>
      <c r="B715" s="6" t="s">
        <v>13</v>
      </c>
      <c r="C715" s="6">
        <v>19613251</v>
      </c>
      <c r="D715" s="6">
        <v>369135</v>
      </c>
      <c r="E715" s="6">
        <v>15236133</v>
      </c>
      <c r="F715" s="6"/>
      <c r="G715" s="7">
        <f t="shared" si="44"/>
        <v>4007983</v>
      </c>
      <c r="H715" s="12">
        <f t="shared" si="45"/>
        <v>1.8820694233709647</v>
      </c>
      <c r="I715" s="12">
        <f t="shared" si="46"/>
        <v>77.682853291379388</v>
      </c>
      <c r="J715">
        <f t="shared" si="47"/>
        <v>29045</v>
      </c>
      <c r="M715" s="5" t="s">
        <v>102</v>
      </c>
      <c r="N715" s="7">
        <v>4007983</v>
      </c>
    </row>
    <row r="716" spans="1:14" x14ac:dyDescent="0.3">
      <c r="A716" s="5" t="s">
        <v>102</v>
      </c>
      <c r="B716" s="6" t="s">
        <v>13</v>
      </c>
      <c r="C716" s="6">
        <v>19619097</v>
      </c>
      <c r="D716" s="6">
        <v>257287</v>
      </c>
      <c r="E716" s="6">
        <v>17540468</v>
      </c>
      <c r="F716" s="6"/>
      <c r="G716" s="7">
        <f t="shared" si="44"/>
        <v>1821342</v>
      </c>
      <c r="H716" s="12">
        <f t="shared" si="45"/>
        <v>1.3114110195795454</v>
      </c>
      <c r="I716" s="12">
        <f t="shared" si="46"/>
        <v>89.405073026551634</v>
      </c>
      <c r="J716">
        <f t="shared" si="47"/>
        <v>5846</v>
      </c>
      <c r="M716" s="5" t="s">
        <v>102</v>
      </c>
      <c r="N716" s="7">
        <v>1821342</v>
      </c>
    </row>
    <row r="717" spans="1:14" x14ac:dyDescent="0.3">
      <c r="A717" s="5" t="s">
        <v>102</v>
      </c>
      <c r="B717" s="6" t="s">
        <v>13</v>
      </c>
      <c r="C717" s="6">
        <v>19660669</v>
      </c>
      <c r="D717" s="6">
        <v>486332</v>
      </c>
      <c r="E717" s="6">
        <v>14325819</v>
      </c>
      <c r="F717" s="6"/>
      <c r="G717" s="7">
        <f t="shared" si="44"/>
        <v>4848518</v>
      </c>
      <c r="H717" s="12">
        <f t="shared" si="45"/>
        <v>2.4736289492488783</v>
      </c>
      <c r="I717" s="12">
        <f t="shared" si="46"/>
        <v>72.865368925136778</v>
      </c>
      <c r="J717">
        <f t="shared" si="47"/>
        <v>41572</v>
      </c>
      <c r="M717" s="5" t="s">
        <v>102</v>
      </c>
      <c r="N717" s="7">
        <v>4848518</v>
      </c>
    </row>
    <row r="718" spans="1:14" x14ac:dyDescent="0.3">
      <c r="A718" s="5" t="s">
        <v>102</v>
      </c>
      <c r="B718" s="6" t="s">
        <v>13</v>
      </c>
      <c r="C718" s="6">
        <v>19692118</v>
      </c>
      <c r="D718" s="6">
        <v>589237</v>
      </c>
      <c r="E718" s="6">
        <v>14428651</v>
      </c>
      <c r="F718" s="6"/>
      <c r="G718" s="7">
        <f t="shared" si="44"/>
        <v>4674230</v>
      </c>
      <c r="H718" s="12">
        <f t="shared" si="45"/>
        <v>2.9922479643885942</v>
      </c>
      <c r="I718" s="12">
        <f t="shared" si="46"/>
        <v>73.271199167098217</v>
      </c>
      <c r="J718">
        <f t="shared" si="47"/>
        <v>31449</v>
      </c>
      <c r="M718" s="5" t="s">
        <v>102</v>
      </c>
      <c r="N718" s="7">
        <v>4674230</v>
      </c>
    </row>
    <row r="719" spans="1:14" x14ac:dyDescent="0.3">
      <c r="A719" s="5" t="s">
        <v>102</v>
      </c>
      <c r="B719" s="6" t="s">
        <v>13</v>
      </c>
      <c r="C719" s="6">
        <v>19735163</v>
      </c>
      <c r="D719" s="6">
        <v>313453</v>
      </c>
      <c r="E719" s="6">
        <v>16144944</v>
      </c>
      <c r="F719" s="6"/>
      <c r="G719" s="7">
        <f t="shared" si="44"/>
        <v>3276766</v>
      </c>
      <c r="H719" s="12">
        <f t="shared" si="45"/>
        <v>1.5882969905037014</v>
      </c>
      <c r="I719" s="12">
        <f t="shared" si="46"/>
        <v>81.808009389129438</v>
      </c>
      <c r="J719">
        <f t="shared" si="47"/>
        <v>43045</v>
      </c>
      <c r="M719" s="5" t="s">
        <v>102</v>
      </c>
      <c r="N719" s="7">
        <v>3276766</v>
      </c>
    </row>
    <row r="720" spans="1:14" x14ac:dyDescent="0.3">
      <c r="A720" s="5" t="s">
        <v>102</v>
      </c>
      <c r="B720" s="6" t="s">
        <v>13</v>
      </c>
      <c r="C720" s="6">
        <v>19768699</v>
      </c>
      <c r="D720" s="6">
        <v>357100</v>
      </c>
      <c r="E720" s="6">
        <v>14653572</v>
      </c>
      <c r="F720" s="6"/>
      <c r="G720" s="7">
        <f t="shared" si="44"/>
        <v>4758027</v>
      </c>
      <c r="H720" s="12">
        <f t="shared" si="45"/>
        <v>1.806391002260695</v>
      </c>
      <c r="I720" s="12">
        <f t="shared" si="46"/>
        <v>74.125120727469223</v>
      </c>
      <c r="J720">
        <f t="shared" si="47"/>
        <v>33536</v>
      </c>
      <c r="M720" s="5" t="s">
        <v>102</v>
      </c>
      <c r="N720" s="7">
        <v>4758027</v>
      </c>
    </row>
    <row r="721" spans="1:14" x14ac:dyDescent="0.3">
      <c r="A721" s="5" t="s">
        <v>102</v>
      </c>
      <c r="B721" s="6" t="s">
        <v>13</v>
      </c>
      <c r="C721" s="6">
        <v>19816003</v>
      </c>
      <c r="D721" s="6">
        <v>277625</v>
      </c>
      <c r="E721" s="6">
        <v>16484157</v>
      </c>
      <c r="F721" s="6"/>
      <c r="G721" s="7">
        <f t="shared" si="44"/>
        <v>3054221</v>
      </c>
      <c r="H721" s="12">
        <f t="shared" si="45"/>
        <v>1.4010141197495782</v>
      </c>
      <c r="I721" s="12">
        <f t="shared" si="46"/>
        <v>83.186084499482561</v>
      </c>
      <c r="J721">
        <f t="shared" si="47"/>
        <v>47304</v>
      </c>
      <c r="M721" s="5" t="s">
        <v>102</v>
      </c>
      <c r="N721" s="7">
        <v>3054221</v>
      </c>
    </row>
    <row r="722" spans="1:14" x14ac:dyDescent="0.3">
      <c r="A722" s="5" t="s">
        <v>103</v>
      </c>
      <c r="B722" s="6" t="s">
        <v>13</v>
      </c>
      <c r="C722" s="6">
        <v>19818698</v>
      </c>
      <c r="D722" s="6">
        <v>210292</v>
      </c>
      <c r="E722" s="6">
        <v>15136415</v>
      </c>
      <c r="F722" s="6"/>
      <c r="G722" s="7">
        <f t="shared" si="44"/>
        <v>4471991</v>
      </c>
      <c r="H722" s="12">
        <f t="shared" si="45"/>
        <v>1.0610787852965922</v>
      </c>
      <c r="I722" s="12">
        <f t="shared" si="46"/>
        <v>76.374416725054289</v>
      </c>
      <c r="J722">
        <f t="shared" si="47"/>
        <v>2695</v>
      </c>
      <c r="M722" s="5" t="s">
        <v>103</v>
      </c>
      <c r="N722" s="7">
        <v>4471991</v>
      </c>
    </row>
    <row r="723" spans="1:14" x14ac:dyDescent="0.3">
      <c r="A723" s="5" t="s">
        <v>103</v>
      </c>
      <c r="B723" s="6" t="s">
        <v>13</v>
      </c>
      <c r="C723" s="6">
        <v>19854181</v>
      </c>
      <c r="D723" s="6">
        <v>433033</v>
      </c>
      <c r="E723" s="6">
        <v>15378007</v>
      </c>
      <c r="F723" s="6"/>
      <c r="G723" s="7">
        <f t="shared" si="44"/>
        <v>4043141</v>
      </c>
      <c r="H723" s="12">
        <f t="shared" si="45"/>
        <v>2.181067050814133</v>
      </c>
      <c r="I723" s="12">
        <f t="shared" si="46"/>
        <v>77.454753736757013</v>
      </c>
      <c r="J723">
        <f t="shared" si="47"/>
        <v>35483</v>
      </c>
      <c r="M723" s="5" t="s">
        <v>103</v>
      </c>
      <c r="N723" s="7">
        <v>4043141</v>
      </c>
    </row>
    <row r="724" spans="1:14" x14ac:dyDescent="0.3">
      <c r="A724" s="5" t="s">
        <v>103</v>
      </c>
      <c r="B724" s="6" t="s">
        <v>13</v>
      </c>
      <c r="C724" s="6">
        <v>19901305</v>
      </c>
      <c r="D724" s="6">
        <v>289986</v>
      </c>
      <c r="E724" s="6">
        <v>14364144</v>
      </c>
      <c r="F724" s="6"/>
      <c r="G724" s="7">
        <f t="shared" si="44"/>
        <v>5247175</v>
      </c>
      <c r="H724" s="12">
        <f t="shared" si="45"/>
        <v>1.4571205255132766</v>
      </c>
      <c r="I724" s="12">
        <f t="shared" si="46"/>
        <v>72.176894932267004</v>
      </c>
      <c r="J724">
        <f t="shared" si="47"/>
        <v>47124</v>
      </c>
      <c r="M724" s="5" t="s">
        <v>103</v>
      </c>
      <c r="N724" s="7">
        <v>5247175</v>
      </c>
    </row>
    <row r="725" spans="1:14" x14ac:dyDescent="0.3">
      <c r="A725" s="5" t="s">
        <v>103</v>
      </c>
      <c r="B725" s="6" t="s">
        <v>13</v>
      </c>
      <c r="C725" s="6">
        <v>19913405</v>
      </c>
      <c r="D725" s="6">
        <v>342358</v>
      </c>
      <c r="E725" s="6">
        <v>13980453</v>
      </c>
      <c r="F725" s="6"/>
      <c r="G725" s="7">
        <f t="shared" si="44"/>
        <v>5590594</v>
      </c>
      <c r="H725" s="12">
        <f t="shared" si="45"/>
        <v>1.7192338527740485</v>
      </c>
      <c r="I725" s="12">
        <f t="shared" si="46"/>
        <v>70.20624046967356</v>
      </c>
      <c r="J725">
        <f t="shared" si="47"/>
        <v>12100</v>
      </c>
      <c r="M725" s="5" t="s">
        <v>103</v>
      </c>
      <c r="N725" s="7">
        <v>5590594</v>
      </c>
    </row>
    <row r="726" spans="1:14" x14ac:dyDescent="0.3">
      <c r="A726" s="5" t="s">
        <v>103</v>
      </c>
      <c r="B726" s="6" t="s">
        <v>13</v>
      </c>
      <c r="C726" s="6">
        <v>19937193</v>
      </c>
      <c r="D726" s="6">
        <v>530900</v>
      </c>
      <c r="E726" s="6">
        <v>16214651</v>
      </c>
      <c r="F726" s="6"/>
      <c r="G726" s="7">
        <f t="shared" si="44"/>
        <v>3191642</v>
      </c>
      <c r="H726" s="12">
        <f t="shared" si="45"/>
        <v>2.6628623196856247</v>
      </c>
      <c r="I726" s="12">
        <f t="shared" si="46"/>
        <v>81.328655443120795</v>
      </c>
      <c r="J726">
        <f t="shared" si="47"/>
        <v>23788</v>
      </c>
      <c r="M726" s="5" t="s">
        <v>103</v>
      </c>
      <c r="N726" s="7">
        <v>3191642</v>
      </c>
    </row>
    <row r="727" spans="1:14" x14ac:dyDescent="0.3">
      <c r="A727" s="5" t="s">
        <v>103</v>
      </c>
      <c r="B727" s="6" t="s">
        <v>13</v>
      </c>
      <c r="C727" s="6">
        <v>19973312</v>
      </c>
      <c r="D727" s="6">
        <v>381060</v>
      </c>
      <c r="E727" s="6">
        <v>16608158</v>
      </c>
      <c r="F727" s="6"/>
      <c r="G727" s="7">
        <f t="shared" si="44"/>
        <v>2984094</v>
      </c>
      <c r="H727" s="12">
        <f t="shared" si="45"/>
        <v>1.9078458294748513</v>
      </c>
      <c r="I727" s="12">
        <f t="shared" si="46"/>
        <v>83.151747692120367</v>
      </c>
      <c r="J727">
        <f t="shared" si="47"/>
        <v>36119</v>
      </c>
      <c r="M727" s="5" t="s">
        <v>103</v>
      </c>
      <c r="N727" s="7">
        <v>2984094</v>
      </c>
    </row>
    <row r="728" spans="1:14" x14ac:dyDescent="0.3">
      <c r="A728" s="5" t="s">
        <v>103</v>
      </c>
      <c r="B728" s="6" t="s">
        <v>13</v>
      </c>
      <c r="C728" s="6">
        <v>19989596</v>
      </c>
      <c r="D728" s="6">
        <v>259211</v>
      </c>
      <c r="E728" s="6">
        <v>15097011</v>
      </c>
      <c r="F728" s="6"/>
      <c r="G728" s="7">
        <f t="shared" si="44"/>
        <v>4633374</v>
      </c>
      <c r="H728" s="12">
        <f t="shared" si="45"/>
        <v>1.2967295587164442</v>
      </c>
      <c r="I728" s="12">
        <f t="shared" si="46"/>
        <v>75.524342763105366</v>
      </c>
      <c r="J728">
        <f t="shared" si="47"/>
        <v>16284</v>
      </c>
      <c r="M728" s="5" t="s">
        <v>103</v>
      </c>
      <c r="N728" s="7">
        <v>4633374</v>
      </c>
    </row>
    <row r="729" spans="1:14" x14ac:dyDescent="0.3">
      <c r="A729" s="5" t="s">
        <v>103</v>
      </c>
      <c r="B729" s="6" t="s">
        <v>13</v>
      </c>
      <c r="C729" s="6">
        <v>20000356</v>
      </c>
      <c r="D729" s="6">
        <v>451052</v>
      </c>
      <c r="E729" s="6">
        <v>15681001</v>
      </c>
      <c r="F729" s="6"/>
      <c r="G729" s="7">
        <f t="shared" si="44"/>
        <v>3868303</v>
      </c>
      <c r="H729" s="12">
        <f t="shared" si="45"/>
        <v>2.2552198570865438</v>
      </c>
      <c r="I729" s="12">
        <f t="shared" si="46"/>
        <v>78.403609415752399</v>
      </c>
      <c r="J729">
        <f t="shared" si="47"/>
        <v>10760</v>
      </c>
      <c r="M729" s="5" t="s">
        <v>103</v>
      </c>
      <c r="N729" s="7">
        <v>3868303</v>
      </c>
    </row>
    <row r="730" spans="1:14" x14ac:dyDescent="0.3">
      <c r="A730" s="5" t="s">
        <v>104</v>
      </c>
      <c r="B730" s="6" t="s">
        <v>13</v>
      </c>
      <c r="C730" s="6">
        <v>20017183</v>
      </c>
      <c r="D730" s="6">
        <v>205901</v>
      </c>
      <c r="E730" s="6">
        <v>17413501</v>
      </c>
      <c r="F730" s="6"/>
      <c r="G730" s="7">
        <f t="shared" si="44"/>
        <v>2397781</v>
      </c>
      <c r="H730" s="12">
        <f t="shared" si="45"/>
        <v>1.0286212600444329</v>
      </c>
      <c r="I730" s="12">
        <f t="shared" si="46"/>
        <v>86.992765165807796</v>
      </c>
      <c r="J730">
        <f t="shared" si="47"/>
        <v>16827</v>
      </c>
      <c r="M730" s="5" t="s">
        <v>104</v>
      </c>
      <c r="N730" s="7">
        <v>2397781</v>
      </c>
    </row>
    <row r="731" spans="1:14" x14ac:dyDescent="0.3">
      <c r="A731" s="5" t="s">
        <v>104</v>
      </c>
      <c r="B731" s="6" t="s">
        <v>13</v>
      </c>
      <c r="C731" s="6">
        <v>20029302</v>
      </c>
      <c r="D731" s="6">
        <v>440386</v>
      </c>
      <c r="E731" s="6">
        <v>14873484</v>
      </c>
      <c r="F731" s="6"/>
      <c r="G731" s="7">
        <f t="shared" si="44"/>
        <v>4715432</v>
      </c>
      <c r="H731" s="12">
        <f t="shared" si="45"/>
        <v>2.1987086719247628</v>
      </c>
      <c r="I731" s="12">
        <f t="shared" si="46"/>
        <v>74.258623690431151</v>
      </c>
      <c r="J731">
        <f t="shared" si="47"/>
        <v>12119</v>
      </c>
      <c r="M731" s="5" t="s">
        <v>104</v>
      </c>
      <c r="N731" s="7">
        <v>4715432</v>
      </c>
    </row>
    <row r="732" spans="1:14" x14ac:dyDescent="0.3">
      <c r="A732" s="5" t="s">
        <v>104</v>
      </c>
      <c r="B732" s="6" t="s">
        <v>13</v>
      </c>
      <c r="C732" s="6">
        <v>20075325</v>
      </c>
      <c r="D732" s="6">
        <v>447526</v>
      </c>
      <c r="E732" s="6">
        <v>15130262</v>
      </c>
      <c r="F732" s="6"/>
      <c r="G732" s="7">
        <f t="shared" si="44"/>
        <v>4497537</v>
      </c>
      <c r="H732" s="12">
        <f t="shared" si="45"/>
        <v>2.2292341468942594</v>
      </c>
      <c r="I732" s="12">
        <f t="shared" si="46"/>
        <v>75.367457313891549</v>
      </c>
      <c r="J732">
        <f t="shared" si="47"/>
        <v>46023</v>
      </c>
      <c r="M732" s="5" t="s">
        <v>104</v>
      </c>
      <c r="N732" s="7">
        <v>4497537</v>
      </c>
    </row>
    <row r="733" spans="1:14" x14ac:dyDescent="0.3">
      <c r="A733" s="5" t="s">
        <v>104</v>
      </c>
      <c r="B733" s="6" t="s">
        <v>13</v>
      </c>
      <c r="C733" s="6">
        <v>20087683</v>
      </c>
      <c r="D733" s="6">
        <v>330804</v>
      </c>
      <c r="E733" s="6">
        <v>15913973</v>
      </c>
      <c r="F733" s="6"/>
      <c r="G733" s="7">
        <f t="shared" si="44"/>
        <v>3842906</v>
      </c>
      <c r="H733" s="12">
        <f t="shared" si="45"/>
        <v>1.6468001809865278</v>
      </c>
      <c r="I733" s="12">
        <f t="shared" si="46"/>
        <v>79.222541494705993</v>
      </c>
      <c r="J733">
        <f t="shared" si="47"/>
        <v>12358</v>
      </c>
      <c r="M733" s="5" t="s">
        <v>104</v>
      </c>
      <c r="N733" s="7">
        <v>3842906</v>
      </c>
    </row>
    <row r="734" spans="1:14" x14ac:dyDescent="0.3">
      <c r="A734" s="5" t="s">
        <v>104</v>
      </c>
      <c r="B734" s="6" t="s">
        <v>13</v>
      </c>
      <c r="C734" s="6">
        <v>20133904</v>
      </c>
      <c r="D734" s="6">
        <v>598700</v>
      </c>
      <c r="E734" s="6">
        <v>14524278</v>
      </c>
      <c r="F734" s="6"/>
      <c r="G734" s="7">
        <f t="shared" si="44"/>
        <v>5010926</v>
      </c>
      <c r="H734" s="12">
        <f t="shared" si="45"/>
        <v>2.973591212116637</v>
      </c>
      <c r="I734" s="12">
        <f t="shared" si="46"/>
        <v>72.138408924568225</v>
      </c>
      <c r="J734">
        <f t="shared" si="47"/>
        <v>46221</v>
      </c>
      <c r="M734" s="5" t="s">
        <v>104</v>
      </c>
      <c r="N734" s="7">
        <v>5010926</v>
      </c>
    </row>
    <row r="735" spans="1:14" x14ac:dyDescent="0.3">
      <c r="A735" s="5" t="s">
        <v>104</v>
      </c>
      <c r="B735" s="6" t="s">
        <v>13</v>
      </c>
      <c r="C735" s="6">
        <v>20174654</v>
      </c>
      <c r="D735" s="6">
        <v>501764</v>
      </c>
      <c r="E735" s="6">
        <v>16666324</v>
      </c>
      <c r="F735" s="6"/>
      <c r="G735" s="7">
        <f t="shared" si="44"/>
        <v>3006566</v>
      </c>
      <c r="H735" s="12">
        <f t="shared" si="45"/>
        <v>2.4871008940227672</v>
      </c>
      <c r="I735" s="12">
        <f t="shared" si="46"/>
        <v>82.610209820698785</v>
      </c>
      <c r="J735">
        <f t="shared" si="47"/>
        <v>40750</v>
      </c>
      <c r="M735" s="5" t="s">
        <v>104</v>
      </c>
      <c r="N735" s="7">
        <v>3006566</v>
      </c>
    </row>
    <row r="736" spans="1:14" x14ac:dyDescent="0.3">
      <c r="A736" s="5" t="s">
        <v>104</v>
      </c>
      <c r="B736" s="6" t="s">
        <v>13</v>
      </c>
      <c r="C736" s="6">
        <v>20187392</v>
      </c>
      <c r="D736" s="6">
        <v>263927</v>
      </c>
      <c r="E736" s="6">
        <v>16405172</v>
      </c>
      <c r="F736" s="6"/>
      <c r="G736" s="7">
        <f t="shared" si="44"/>
        <v>3518293</v>
      </c>
      <c r="H736" s="12">
        <f t="shared" si="45"/>
        <v>1.3073853224824683</v>
      </c>
      <c r="I736" s="12">
        <f t="shared" si="46"/>
        <v>81.264444659320034</v>
      </c>
      <c r="J736">
        <f t="shared" si="47"/>
        <v>12738</v>
      </c>
      <c r="M736" s="5" t="s">
        <v>104</v>
      </c>
      <c r="N736" s="7">
        <v>3518293</v>
      </c>
    </row>
    <row r="737" spans="1:14" x14ac:dyDescent="0.3">
      <c r="A737" s="5" t="s">
        <v>104</v>
      </c>
      <c r="B737" s="6" t="s">
        <v>13</v>
      </c>
      <c r="C737" s="6">
        <v>20205323</v>
      </c>
      <c r="D737" s="6">
        <v>439706</v>
      </c>
      <c r="E737" s="6">
        <v>16593007</v>
      </c>
      <c r="F737" s="6"/>
      <c r="G737" s="7">
        <f t="shared" si="44"/>
        <v>3172610</v>
      </c>
      <c r="H737" s="12">
        <f t="shared" si="45"/>
        <v>2.1761889181380569</v>
      </c>
      <c r="I737" s="12">
        <f t="shared" si="46"/>
        <v>82.121958654162569</v>
      </c>
      <c r="J737">
        <f t="shared" si="47"/>
        <v>17931</v>
      </c>
      <c r="M737" s="5" t="s">
        <v>104</v>
      </c>
      <c r="N737" s="7">
        <v>3172610</v>
      </c>
    </row>
    <row r="738" spans="1:14" x14ac:dyDescent="0.3">
      <c r="A738" s="5" t="s">
        <v>105</v>
      </c>
      <c r="B738" s="6" t="s">
        <v>13</v>
      </c>
      <c r="C738" s="6">
        <v>20251740</v>
      </c>
      <c r="D738" s="6">
        <v>534431</v>
      </c>
      <c r="E738" s="6">
        <v>15977943</v>
      </c>
      <c r="F738" s="6"/>
      <c r="G738" s="7">
        <f t="shared" si="44"/>
        <v>3739366</v>
      </c>
      <c r="H738" s="12">
        <f t="shared" si="45"/>
        <v>2.6389386788493239</v>
      </c>
      <c r="I738" s="12">
        <f t="shared" si="46"/>
        <v>78.896642955123852</v>
      </c>
      <c r="J738">
        <f t="shared" si="47"/>
        <v>46417</v>
      </c>
      <c r="M738" s="5" t="s">
        <v>105</v>
      </c>
      <c r="N738" s="7">
        <v>3739366</v>
      </c>
    </row>
    <row r="739" spans="1:14" x14ac:dyDescent="0.3">
      <c r="A739" s="5" t="s">
        <v>105</v>
      </c>
      <c r="B739" s="6" t="s">
        <v>13</v>
      </c>
      <c r="C739" s="6">
        <v>20275012</v>
      </c>
      <c r="D739" s="6">
        <v>217703</v>
      </c>
      <c r="E739" s="6">
        <v>17306094</v>
      </c>
      <c r="F739" s="6"/>
      <c r="G739" s="7">
        <f t="shared" si="44"/>
        <v>2751215</v>
      </c>
      <c r="H739" s="12">
        <f t="shared" si="45"/>
        <v>1.0737502892723318</v>
      </c>
      <c r="I739" s="12">
        <f t="shared" si="46"/>
        <v>85.356763290694971</v>
      </c>
      <c r="J739">
        <f t="shared" si="47"/>
        <v>23272</v>
      </c>
      <c r="M739" s="5" t="s">
        <v>105</v>
      </c>
      <c r="N739" s="7">
        <v>2751215</v>
      </c>
    </row>
    <row r="740" spans="1:14" x14ac:dyDescent="0.3">
      <c r="A740" s="5" t="s">
        <v>105</v>
      </c>
      <c r="B740" s="6" t="s">
        <v>13</v>
      </c>
      <c r="C740" s="6">
        <v>20322031</v>
      </c>
      <c r="D740" s="6">
        <v>255233</v>
      </c>
      <c r="E740" s="6">
        <v>16529262</v>
      </c>
      <c r="F740" s="6"/>
      <c r="G740" s="7">
        <f t="shared" si="44"/>
        <v>3537536</v>
      </c>
      <c r="H740" s="12">
        <f t="shared" si="45"/>
        <v>1.2559423809559191</v>
      </c>
      <c r="I740" s="12">
        <f t="shared" si="46"/>
        <v>81.336663643510832</v>
      </c>
      <c r="J740">
        <f t="shared" si="47"/>
        <v>47019</v>
      </c>
      <c r="M740" s="5" t="s">
        <v>105</v>
      </c>
      <c r="N740" s="7">
        <v>3537536</v>
      </c>
    </row>
    <row r="741" spans="1:14" x14ac:dyDescent="0.3">
      <c r="A741" s="5" t="s">
        <v>105</v>
      </c>
      <c r="B741" s="6" t="s">
        <v>13</v>
      </c>
      <c r="C741" s="6">
        <v>20337341</v>
      </c>
      <c r="D741" s="6">
        <v>314687</v>
      </c>
      <c r="E741" s="6">
        <v>14828999</v>
      </c>
      <c r="F741" s="6"/>
      <c r="G741" s="7">
        <f t="shared" si="44"/>
        <v>5193655</v>
      </c>
      <c r="H741" s="12">
        <f t="shared" si="45"/>
        <v>1.5473360062163484</v>
      </c>
      <c r="I741" s="12">
        <f t="shared" si="46"/>
        <v>72.915131825738683</v>
      </c>
      <c r="J741">
        <f t="shared" si="47"/>
        <v>15310</v>
      </c>
      <c r="M741" s="5" t="s">
        <v>105</v>
      </c>
      <c r="N741" s="7">
        <v>5193655</v>
      </c>
    </row>
    <row r="742" spans="1:14" x14ac:dyDescent="0.3">
      <c r="A742" s="5" t="s">
        <v>105</v>
      </c>
      <c r="B742" s="6" t="s">
        <v>13</v>
      </c>
      <c r="C742" s="6">
        <v>20386395</v>
      </c>
      <c r="D742" s="6">
        <v>383678</v>
      </c>
      <c r="E742" s="6">
        <v>15858114</v>
      </c>
      <c r="F742" s="6"/>
      <c r="G742" s="7">
        <f t="shared" si="44"/>
        <v>4144603</v>
      </c>
      <c r="H742" s="12">
        <f t="shared" si="45"/>
        <v>1.8820296575240498</v>
      </c>
      <c r="I742" s="12">
        <f t="shared" si="46"/>
        <v>77.787730493792552</v>
      </c>
      <c r="J742">
        <f t="shared" si="47"/>
        <v>49054</v>
      </c>
      <c r="M742" s="5" t="s">
        <v>105</v>
      </c>
      <c r="N742" s="7">
        <v>4144603</v>
      </c>
    </row>
    <row r="743" spans="1:14" x14ac:dyDescent="0.3">
      <c r="A743" s="5" t="s">
        <v>105</v>
      </c>
      <c r="B743" s="6" t="s">
        <v>13</v>
      </c>
      <c r="C743" s="6">
        <v>20409239</v>
      </c>
      <c r="D743" s="6">
        <v>518073</v>
      </c>
      <c r="E743" s="6">
        <v>14607882</v>
      </c>
      <c r="F743" s="6"/>
      <c r="G743" s="7">
        <f t="shared" si="44"/>
        <v>5283284</v>
      </c>
      <c r="H743" s="12">
        <f t="shared" si="45"/>
        <v>2.538423897137958</v>
      </c>
      <c r="I743" s="12">
        <f t="shared" si="46"/>
        <v>71.574849018133406</v>
      </c>
      <c r="J743">
        <f t="shared" si="47"/>
        <v>22844</v>
      </c>
      <c r="M743" s="5" t="s">
        <v>105</v>
      </c>
      <c r="N743" s="7">
        <v>5283284</v>
      </c>
    </row>
    <row r="744" spans="1:14" x14ac:dyDescent="0.3">
      <c r="A744" s="5" t="s">
        <v>105</v>
      </c>
      <c r="B744" s="6" t="s">
        <v>13</v>
      </c>
      <c r="C744" s="6">
        <v>20456891</v>
      </c>
      <c r="D744" s="6">
        <v>599540</v>
      </c>
      <c r="E744" s="6">
        <v>16841961</v>
      </c>
      <c r="F744" s="6"/>
      <c r="G744" s="7">
        <f t="shared" si="44"/>
        <v>3015390</v>
      </c>
      <c r="H744" s="12">
        <f t="shared" si="45"/>
        <v>2.930748372272209</v>
      </c>
      <c r="I744" s="12">
        <f t="shared" si="46"/>
        <v>82.329035238052555</v>
      </c>
      <c r="J744">
        <f t="shared" si="47"/>
        <v>47652</v>
      </c>
      <c r="M744" s="5" t="s">
        <v>105</v>
      </c>
      <c r="N744" s="7">
        <v>3015390</v>
      </c>
    </row>
    <row r="745" spans="1:14" x14ac:dyDescent="0.3">
      <c r="A745" s="5" t="s">
        <v>105</v>
      </c>
      <c r="B745" s="6" t="s">
        <v>13</v>
      </c>
      <c r="C745" s="6">
        <v>20482747</v>
      </c>
      <c r="D745" s="6">
        <v>220085</v>
      </c>
      <c r="E745" s="6">
        <v>16479098</v>
      </c>
      <c r="F745" s="6"/>
      <c r="G745" s="7">
        <f t="shared" si="44"/>
        <v>3783564</v>
      </c>
      <c r="H745" s="12">
        <f t="shared" si="45"/>
        <v>1.0744896668400972</v>
      </c>
      <c r="I745" s="12">
        <f t="shared" si="46"/>
        <v>80.453554398733729</v>
      </c>
      <c r="J745">
        <f t="shared" si="47"/>
        <v>25856</v>
      </c>
      <c r="M745" s="5" t="s">
        <v>105</v>
      </c>
      <c r="N745" s="7">
        <v>3783564</v>
      </c>
    </row>
    <row r="746" spans="1:14" x14ac:dyDescent="0.3">
      <c r="A746" s="5" t="s">
        <v>106</v>
      </c>
      <c r="B746" s="6" t="s">
        <v>13</v>
      </c>
      <c r="C746" s="6">
        <v>20494978</v>
      </c>
      <c r="D746" s="6">
        <v>414496</v>
      </c>
      <c r="E746" s="6">
        <v>18370196</v>
      </c>
      <c r="F746" s="6"/>
      <c r="G746" s="7">
        <f t="shared" si="44"/>
        <v>1710286</v>
      </c>
      <c r="H746" s="12">
        <f t="shared" si="45"/>
        <v>2.022427152641979</v>
      </c>
      <c r="I746" s="12">
        <f t="shared" si="46"/>
        <v>89.632670013112488</v>
      </c>
      <c r="J746">
        <f t="shared" si="47"/>
        <v>12231</v>
      </c>
      <c r="M746" s="5" t="s">
        <v>106</v>
      </c>
      <c r="N746" s="7">
        <v>1710286</v>
      </c>
    </row>
    <row r="747" spans="1:14" x14ac:dyDescent="0.3">
      <c r="A747" s="5" t="s">
        <v>106</v>
      </c>
      <c r="B747" s="6" t="s">
        <v>13</v>
      </c>
      <c r="C747" s="6">
        <v>20520304</v>
      </c>
      <c r="D747" s="6">
        <v>365057</v>
      </c>
      <c r="E747" s="6">
        <v>16362615</v>
      </c>
      <c r="F747" s="6"/>
      <c r="G747" s="7">
        <f t="shared" si="44"/>
        <v>3792632</v>
      </c>
      <c r="H747" s="12">
        <f t="shared" si="45"/>
        <v>1.7790038588122281</v>
      </c>
      <c r="I747" s="12">
        <f t="shared" si="46"/>
        <v>79.738657867836665</v>
      </c>
      <c r="J747">
        <f t="shared" si="47"/>
        <v>25326</v>
      </c>
      <c r="M747" s="5" t="s">
        <v>106</v>
      </c>
      <c r="N747" s="7">
        <v>3792632</v>
      </c>
    </row>
    <row r="748" spans="1:14" x14ac:dyDescent="0.3">
      <c r="A748" s="5" t="s">
        <v>106</v>
      </c>
      <c r="B748" s="6" t="s">
        <v>13</v>
      </c>
      <c r="C748" s="6">
        <v>20553277</v>
      </c>
      <c r="D748" s="6">
        <v>436072</v>
      </c>
      <c r="E748" s="6">
        <v>17121076</v>
      </c>
      <c r="F748" s="6"/>
      <c r="G748" s="7">
        <f t="shared" si="44"/>
        <v>2996129</v>
      </c>
      <c r="H748" s="12">
        <f t="shared" si="45"/>
        <v>2.1216665352196635</v>
      </c>
      <c r="I748" s="12">
        <f t="shared" si="46"/>
        <v>83.300954879360603</v>
      </c>
      <c r="J748">
        <f t="shared" si="47"/>
        <v>32973</v>
      </c>
      <c r="M748" s="5" t="s">
        <v>106</v>
      </c>
      <c r="N748" s="7">
        <v>2996129</v>
      </c>
    </row>
    <row r="749" spans="1:14" x14ac:dyDescent="0.3">
      <c r="A749" s="5" t="s">
        <v>106</v>
      </c>
      <c r="B749" s="6" t="s">
        <v>13</v>
      </c>
      <c r="C749" s="6">
        <v>20603010</v>
      </c>
      <c r="D749" s="6">
        <v>516464</v>
      </c>
      <c r="E749" s="6">
        <v>14756976</v>
      </c>
      <c r="F749" s="6"/>
      <c r="G749" s="7">
        <f t="shared" si="44"/>
        <v>5329570</v>
      </c>
      <c r="H749" s="12">
        <f t="shared" si="45"/>
        <v>2.5067405199531523</v>
      </c>
      <c r="I749" s="12">
        <f t="shared" si="46"/>
        <v>71.625340180876478</v>
      </c>
      <c r="J749">
        <f t="shared" si="47"/>
        <v>49733</v>
      </c>
      <c r="M749" s="5" t="s">
        <v>106</v>
      </c>
      <c r="N749" s="7">
        <v>5329570</v>
      </c>
    </row>
    <row r="750" spans="1:14" x14ac:dyDescent="0.3">
      <c r="A750" s="5" t="s">
        <v>106</v>
      </c>
      <c r="B750" s="6" t="s">
        <v>13</v>
      </c>
      <c r="C750" s="6">
        <v>20648778</v>
      </c>
      <c r="D750" s="6">
        <v>284638</v>
      </c>
      <c r="E750" s="6">
        <v>14722996</v>
      </c>
      <c r="F750" s="6"/>
      <c r="G750" s="7">
        <f t="shared" si="44"/>
        <v>5641144</v>
      </c>
      <c r="H750" s="12">
        <f t="shared" si="45"/>
        <v>1.3784738254244393</v>
      </c>
      <c r="I750" s="12">
        <f t="shared" si="46"/>
        <v>71.30202087503676</v>
      </c>
      <c r="J750">
        <f t="shared" si="47"/>
        <v>45768</v>
      </c>
      <c r="M750" s="5" t="s">
        <v>106</v>
      </c>
      <c r="N750" s="7">
        <v>5641144</v>
      </c>
    </row>
    <row r="751" spans="1:14" x14ac:dyDescent="0.3">
      <c r="A751" s="5" t="s">
        <v>106</v>
      </c>
      <c r="B751" s="6" t="s">
        <v>13</v>
      </c>
      <c r="C751" s="6">
        <v>20675333</v>
      </c>
      <c r="D751" s="6">
        <v>349004</v>
      </c>
      <c r="E751" s="6">
        <v>16104388</v>
      </c>
      <c r="F751" s="6"/>
      <c r="G751" s="7">
        <f t="shared" si="44"/>
        <v>4221941</v>
      </c>
      <c r="H751" s="12">
        <f t="shared" si="45"/>
        <v>1.6880211796346885</v>
      </c>
      <c r="I751" s="12">
        <f t="shared" si="46"/>
        <v>77.891795019698108</v>
      </c>
      <c r="J751">
        <f t="shared" si="47"/>
        <v>26555</v>
      </c>
      <c r="M751" s="5" t="s">
        <v>106</v>
      </c>
      <c r="N751" s="7">
        <v>4221941</v>
      </c>
    </row>
    <row r="752" spans="1:14" x14ac:dyDescent="0.3">
      <c r="A752" s="5" t="s">
        <v>106</v>
      </c>
      <c r="B752" s="6" t="s">
        <v>10</v>
      </c>
      <c r="C752" s="6">
        <v>7740877</v>
      </c>
      <c r="D752" s="6">
        <v>185338</v>
      </c>
      <c r="E752" s="6">
        <v>6333504</v>
      </c>
      <c r="F752" s="6"/>
      <c r="G752" s="7">
        <f t="shared" si="44"/>
        <v>1222035</v>
      </c>
      <c r="H752" s="12">
        <f t="shared" si="45"/>
        <v>2.3942765141469113</v>
      </c>
      <c r="I752" s="12">
        <f t="shared" si="46"/>
        <v>81.818946354528038</v>
      </c>
      <c r="J752" t="str">
        <f t="shared" si="47"/>
        <v/>
      </c>
      <c r="M752" s="5" t="s">
        <v>106</v>
      </c>
      <c r="N752" s="7">
        <v>1222035</v>
      </c>
    </row>
    <row r="753" spans="1:14" x14ac:dyDescent="0.3">
      <c r="A753" s="5" t="s">
        <v>106</v>
      </c>
      <c r="B753" s="6" t="s">
        <v>10</v>
      </c>
      <c r="C753" s="6">
        <v>7761171</v>
      </c>
      <c r="D753" s="6">
        <v>110311</v>
      </c>
      <c r="E753" s="6">
        <v>6301207</v>
      </c>
      <c r="F753" s="6"/>
      <c r="G753" s="7">
        <f t="shared" si="44"/>
        <v>1349653</v>
      </c>
      <c r="H753" s="12">
        <f t="shared" si="45"/>
        <v>1.4213190251831844</v>
      </c>
      <c r="I753" s="12">
        <f t="shared" si="46"/>
        <v>81.188869566203351</v>
      </c>
      <c r="J753">
        <f t="shared" si="47"/>
        <v>20294</v>
      </c>
      <c r="M753" s="5" t="s">
        <v>106</v>
      </c>
      <c r="N753" s="7">
        <v>1349653</v>
      </c>
    </row>
    <row r="754" spans="1:14" x14ac:dyDescent="0.3">
      <c r="A754" s="5" t="s">
        <v>107</v>
      </c>
      <c r="B754" s="6" t="s">
        <v>10</v>
      </c>
      <c r="C754" s="6">
        <v>7804256</v>
      </c>
      <c r="D754" s="6">
        <v>173404</v>
      </c>
      <c r="E754" s="6">
        <v>6250990</v>
      </c>
      <c r="F754" s="6"/>
      <c r="G754" s="7">
        <f t="shared" si="44"/>
        <v>1379862</v>
      </c>
      <c r="H754" s="12">
        <f t="shared" si="45"/>
        <v>2.2219158366921841</v>
      </c>
      <c r="I754" s="12">
        <f t="shared" si="46"/>
        <v>80.097193121291767</v>
      </c>
      <c r="J754">
        <f t="shared" si="47"/>
        <v>43085</v>
      </c>
      <c r="M754" s="5" t="s">
        <v>107</v>
      </c>
      <c r="N754" s="7">
        <v>1379862</v>
      </c>
    </row>
    <row r="755" spans="1:14" x14ac:dyDescent="0.3">
      <c r="A755" s="5" t="s">
        <v>107</v>
      </c>
      <c r="B755" s="6" t="s">
        <v>10</v>
      </c>
      <c r="C755" s="6">
        <v>7836306</v>
      </c>
      <c r="D755" s="6">
        <v>187423</v>
      </c>
      <c r="E755" s="6">
        <v>6548799</v>
      </c>
      <c r="F755" s="6"/>
      <c r="G755" s="7">
        <f t="shared" si="44"/>
        <v>1100084</v>
      </c>
      <c r="H755" s="12">
        <f t="shared" si="45"/>
        <v>2.3917264078253195</v>
      </c>
      <c r="I755" s="12">
        <f t="shared" si="46"/>
        <v>83.569975445063022</v>
      </c>
      <c r="J755">
        <f t="shared" si="47"/>
        <v>32050</v>
      </c>
      <c r="M755" s="5" t="s">
        <v>107</v>
      </c>
      <c r="N755" s="7">
        <v>1100084</v>
      </c>
    </row>
    <row r="756" spans="1:14" x14ac:dyDescent="0.3">
      <c r="A756" s="5" t="s">
        <v>107</v>
      </c>
      <c r="B756" s="6" t="s">
        <v>10</v>
      </c>
      <c r="C756" s="6">
        <v>7857634</v>
      </c>
      <c r="D756" s="6">
        <v>146316</v>
      </c>
      <c r="E756" s="6">
        <v>5505146</v>
      </c>
      <c r="F756" s="6"/>
      <c r="G756" s="7">
        <f t="shared" si="44"/>
        <v>2206172</v>
      </c>
      <c r="H756" s="12">
        <f t="shared" si="45"/>
        <v>1.862087238983134</v>
      </c>
      <c r="I756" s="12">
        <f t="shared" si="46"/>
        <v>70.061115088842257</v>
      </c>
      <c r="J756">
        <f t="shared" si="47"/>
        <v>21328</v>
      </c>
      <c r="M756" s="5" t="s">
        <v>107</v>
      </c>
      <c r="N756" s="7">
        <v>2206172</v>
      </c>
    </row>
    <row r="757" spans="1:14" x14ac:dyDescent="0.3">
      <c r="A757" s="5" t="s">
        <v>107</v>
      </c>
      <c r="B757" s="6" t="s">
        <v>10</v>
      </c>
      <c r="C757" s="6">
        <v>7883377</v>
      </c>
      <c r="D757" s="6">
        <v>167181</v>
      </c>
      <c r="E757" s="6">
        <v>5560211</v>
      </c>
      <c r="F757" s="6"/>
      <c r="G757" s="7">
        <f t="shared" si="44"/>
        <v>2155985</v>
      </c>
      <c r="H757" s="12">
        <f t="shared" si="45"/>
        <v>2.1206774710888494</v>
      </c>
      <c r="I757" s="12">
        <f t="shared" si="46"/>
        <v>70.530827080830974</v>
      </c>
      <c r="J757">
        <f t="shared" si="47"/>
        <v>25743</v>
      </c>
      <c r="M757" s="5" t="s">
        <v>107</v>
      </c>
      <c r="N757" s="7">
        <v>2155985</v>
      </c>
    </row>
    <row r="758" spans="1:14" x14ac:dyDescent="0.3">
      <c r="A758" s="5" t="s">
        <v>107</v>
      </c>
      <c r="B758" s="6" t="s">
        <v>10</v>
      </c>
      <c r="C758" s="6">
        <v>7924953</v>
      </c>
      <c r="D758" s="6">
        <v>170740</v>
      </c>
      <c r="E758" s="6">
        <v>6819430</v>
      </c>
      <c r="F758" s="6"/>
      <c r="G758" s="7">
        <f t="shared" si="44"/>
        <v>934783</v>
      </c>
      <c r="H758" s="12">
        <f t="shared" si="45"/>
        <v>2.1544607267702407</v>
      </c>
      <c r="I758" s="12">
        <f t="shared" si="46"/>
        <v>86.050100234032939</v>
      </c>
      <c r="J758">
        <f t="shared" si="47"/>
        <v>41576</v>
      </c>
      <c r="M758" s="5" t="s">
        <v>107</v>
      </c>
      <c r="N758" s="7">
        <v>934783</v>
      </c>
    </row>
    <row r="759" spans="1:14" x14ac:dyDescent="0.3">
      <c r="A759" s="5" t="s">
        <v>107</v>
      </c>
      <c r="B759" s="6" t="s">
        <v>10</v>
      </c>
      <c r="C759" s="6">
        <v>7930500</v>
      </c>
      <c r="D759" s="6">
        <v>144109</v>
      </c>
      <c r="E759" s="6">
        <v>6223162</v>
      </c>
      <c r="F759" s="6"/>
      <c r="G759" s="7">
        <f t="shared" si="44"/>
        <v>1563229</v>
      </c>
      <c r="H759" s="12">
        <f t="shared" si="45"/>
        <v>1.8171489817792068</v>
      </c>
      <c r="I759" s="12">
        <f t="shared" si="46"/>
        <v>78.471243931656261</v>
      </c>
      <c r="J759">
        <f t="shared" si="47"/>
        <v>5547</v>
      </c>
      <c r="M759" s="5" t="s">
        <v>107</v>
      </c>
      <c r="N759" s="7">
        <v>1563229</v>
      </c>
    </row>
    <row r="760" spans="1:14" x14ac:dyDescent="0.3">
      <c r="A760" s="5" t="s">
        <v>107</v>
      </c>
      <c r="B760" s="6" t="s">
        <v>10</v>
      </c>
      <c r="C760" s="6">
        <v>7974275</v>
      </c>
      <c r="D760" s="6">
        <v>189192</v>
      </c>
      <c r="E760" s="6">
        <v>6456844</v>
      </c>
      <c r="F760" s="6"/>
      <c r="G760" s="7">
        <f t="shared" si="44"/>
        <v>1328239</v>
      </c>
      <c r="H760" s="12">
        <f t="shared" si="45"/>
        <v>2.3725291640932875</v>
      </c>
      <c r="I760" s="12">
        <f t="shared" si="46"/>
        <v>80.970922121446776</v>
      </c>
      <c r="J760">
        <f t="shared" si="47"/>
        <v>43775</v>
      </c>
      <c r="M760" s="5" t="s">
        <v>107</v>
      </c>
      <c r="N760" s="7">
        <v>1328239</v>
      </c>
    </row>
    <row r="761" spans="1:14" x14ac:dyDescent="0.3">
      <c r="A761" s="5" t="s">
        <v>107</v>
      </c>
      <c r="B761" s="6" t="s">
        <v>10</v>
      </c>
      <c r="C761" s="6">
        <v>7988108</v>
      </c>
      <c r="D761" s="6">
        <v>203549</v>
      </c>
      <c r="E761" s="6">
        <v>7077571</v>
      </c>
      <c r="F761" s="6"/>
      <c r="G761" s="7">
        <f t="shared" si="44"/>
        <v>706988</v>
      </c>
      <c r="H761" s="12">
        <f t="shared" si="45"/>
        <v>2.5481503254587943</v>
      </c>
      <c r="I761" s="12">
        <f t="shared" si="46"/>
        <v>88.601343396959578</v>
      </c>
      <c r="J761">
        <f t="shared" si="47"/>
        <v>13833</v>
      </c>
      <c r="M761" s="5" t="s">
        <v>107</v>
      </c>
      <c r="N761" s="7">
        <v>706988</v>
      </c>
    </row>
    <row r="762" spans="1:14" x14ac:dyDescent="0.3">
      <c r="A762" s="5" t="s">
        <v>108</v>
      </c>
      <c r="B762" s="6" t="s">
        <v>10</v>
      </c>
      <c r="C762" s="6">
        <v>8021323</v>
      </c>
      <c r="D762" s="6">
        <v>123975</v>
      </c>
      <c r="E762" s="6">
        <v>5874035</v>
      </c>
      <c r="F762" s="6"/>
      <c r="G762" s="7">
        <f t="shared" si="44"/>
        <v>2023313</v>
      </c>
      <c r="H762" s="12">
        <f t="shared" si="45"/>
        <v>1.545567981740668</v>
      </c>
      <c r="I762" s="12">
        <f t="shared" si="46"/>
        <v>73.230251418625087</v>
      </c>
      <c r="J762">
        <f t="shared" si="47"/>
        <v>33215</v>
      </c>
      <c r="M762" s="5" t="s">
        <v>108</v>
      </c>
      <c r="N762" s="7">
        <v>2023313</v>
      </c>
    </row>
    <row r="763" spans="1:14" x14ac:dyDescent="0.3">
      <c r="A763" s="5" t="s">
        <v>108</v>
      </c>
      <c r="B763" s="6" t="s">
        <v>10</v>
      </c>
      <c r="C763" s="6">
        <v>8059188</v>
      </c>
      <c r="D763" s="6">
        <v>200453</v>
      </c>
      <c r="E763" s="6">
        <v>6376206</v>
      </c>
      <c r="F763" s="6"/>
      <c r="G763" s="7">
        <f t="shared" si="44"/>
        <v>1482529</v>
      </c>
      <c r="H763" s="12">
        <f t="shared" si="45"/>
        <v>2.4872605031673167</v>
      </c>
      <c r="I763" s="12">
        <f t="shared" si="46"/>
        <v>79.117226201944916</v>
      </c>
      <c r="J763">
        <f t="shared" si="47"/>
        <v>37865</v>
      </c>
      <c r="M763" s="5" t="s">
        <v>108</v>
      </c>
      <c r="N763" s="7">
        <v>1482529</v>
      </c>
    </row>
    <row r="764" spans="1:14" x14ac:dyDescent="0.3">
      <c r="A764" s="5" t="s">
        <v>108</v>
      </c>
      <c r="B764" s="6" t="s">
        <v>10</v>
      </c>
      <c r="C764" s="6">
        <v>8081062</v>
      </c>
      <c r="D764" s="6">
        <v>108382</v>
      </c>
      <c r="E764" s="6">
        <v>6143972</v>
      </c>
      <c r="F764" s="6"/>
      <c r="G764" s="7">
        <f t="shared" si="44"/>
        <v>1828708</v>
      </c>
      <c r="H764" s="12">
        <f t="shared" si="45"/>
        <v>1.3411851066109874</v>
      </c>
      <c r="I764" s="12">
        <f t="shared" si="46"/>
        <v>76.02926447043717</v>
      </c>
      <c r="J764">
        <f t="shared" si="47"/>
        <v>21874</v>
      </c>
      <c r="M764" s="5" t="s">
        <v>108</v>
      </c>
      <c r="N764" s="7">
        <v>1828708</v>
      </c>
    </row>
    <row r="765" spans="1:14" x14ac:dyDescent="0.3">
      <c r="A765" s="5" t="s">
        <v>108</v>
      </c>
      <c r="B765" s="6" t="s">
        <v>10</v>
      </c>
      <c r="C765" s="6">
        <v>8098039</v>
      </c>
      <c r="D765" s="6">
        <v>108011</v>
      </c>
      <c r="E765" s="6">
        <v>6741691</v>
      </c>
      <c r="F765" s="6"/>
      <c r="G765" s="7">
        <f t="shared" si="44"/>
        <v>1248337</v>
      </c>
      <c r="H765" s="12">
        <f t="shared" si="45"/>
        <v>1.3337920452099576</v>
      </c>
      <c r="I765" s="12">
        <f t="shared" si="46"/>
        <v>83.250908028474541</v>
      </c>
      <c r="J765">
        <f t="shared" si="47"/>
        <v>16977</v>
      </c>
      <c r="M765" s="5" t="s">
        <v>108</v>
      </c>
      <c r="N765" s="7">
        <v>1248337</v>
      </c>
    </row>
    <row r="766" spans="1:14" x14ac:dyDescent="0.3">
      <c r="A766" s="5" t="s">
        <v>108</v>
      </c>
      <c r="B766" s="6" t="s">
        <v>10</v>
      </c>
      <c r="C766" s="6">
        <v>8140832</v>
      </c>
      <c r="D766" s="6">
        <v>235531</v>
      </c>
      <c r="E766" s="6">
        <v>7284145</v>
      </c>
      <c r="F766" s="6"/>
      <c r="G766" s="7">
        <f t="shared" si="44"/>
        <v>621156</v>
      </c>
      <c r="H766" s="12">
        <f t="shared" si="45"/>
        <v>2.8932055101984662</v>
      </c>
      <c r="I766" s="12">
        <f t="shared" si="46"/>
        <v>89.476665284334572</v>
      </c>
      <c r="J766">
        <f t="shared" si="47"/>
        <v>42793</v>
      </c>
      <c r="M766" s="5" t="s">
        <v>108</v>
      </c>
      <c r="N766" s="7">
        <v>621156</v>
      </c>
    </row>
    <row r="767" spans="1:14" x14ac:dyDescent="0.3">
      <c r="A767" s="5" t="s">
        <v>108</v>
      </c>
      <c r="B767" s="6" t="s">
        <v>10</v>
      </c>
      <c r="C767" s="6">
        <v>8174835</v>
      </c>
      <c r="D767" s="6">
        <v>139425</v>
      </c>
      <c r="E767" s="6">
        <v>6510954</v>
      </c>
      <c r="F767" s="6"/>
      <c r="G767" s="7">
        <f t="shared" si="44"/>
        <v>1524456</v>
      </c>
      <c r="H767" s="12">
        <f t="shared" si="45"/>
        <v>1.7055390108791189</v>
      </c>
      <c r="I767" s="12">
        <f t="shared" si="46"/>
        <v>79.646304787803061</v>
      </c>
      <c r="J767">
        <f t="shared" si="47"/>
        <v>34003</v>
      </c>
      <c r="M767" s="5" t="s">
        <v>108</v>
      </c>
      <c r="N767" s="7">
        <v>1524456</v>
      </c>
    </row>
    <row r="768" spans="1:14" x14ac:dyDescent="0.3">
      <c r="A768" s="5" t="s">
        <v>108</v>
      </c>
      <c r="B768" s="6" t="s">
        <v>10</v>
      </c>
      <c r="C768" s="6">
        <v>8209938</v>
      </c>
      <c r="D768" s="6">
        <v>156338</v>
      </c>
      <c r="E768" s="6">
        <v>5814075</v>
      </c>
      <c r="F768" s="6"/>
      <c r="G768" s="7">
        <f t="shared" si="44"/>
        <v>2239525</v>
      </c>
      <c r="H768" s="12">
        <f t="shared" si="45"/>
        <v>1.9042531137263157</v>
      </c>
      <c r="I768" s="12">
        <f t="shared" si="46"/>
        <v>70.817526271209346</v>
      </c>
      <c r="J768">
        <f t="shared" si="47"/>
        <v>35103</v>
      </c>
      <c r="M768" s="5" t="s">
        <v>108</v>
      </c>
      <c r="N768" s="7">
        <v>2239525</v>
      </c>
    </row>
    <row r="769" spans="1:14" x14ac:dyDescent="0.3">
      <c r="A769" s="5" t="s">
        <v>108</v>
      </c>
      <c r="B769" s="6" t="s">
        <v>10</v>
      </c>
      <c r="C769" s="6">
        <v>8214851</v>
      </c>
      <c r="D769" s="6">
        <v>91639</v>
      </c>
      <c r="E769" s="6">
        <v>7242191</v>
      </c>
      <c r="F769" s="6"/>
      <c r="G769" s="7">
        <f t="shared" si="44"/>
        <v>881021</v>
      </c>
      <c r="H769" s="12">
        <f t="shared" si="45"/>
        <v>1.1155284496334748</v>
      </c>
      <c r="I769" s="12">
        <f t="shared" si="46"/>
        <v>88.159736555173069</v>
      </c>
      <c r="J769">
        <f t="shared" si="47"/>
        <v>4913</v>
      </c>
      <c r="M769" s="5" t="s">
        <v>108</v>
      </c>
      <c r="N769" s="7">
        <v>881021</v>
      </c>
    </row>
    <row r="770" spans="1:14" x14ac:dyDescent="0.3">
      <c r="A770" s="5" t="s">
        <v>109</v>
      </c>
      <c r="B770" s="6" t="s">
        <v>10</v>
      </c>
      <c r="C770" s="6">
        <v>8218857</v>
      </c>
      <c r="D770" s="6">
        <v>181840</v>
      </c>
      <c r="E770" s="6">
        <v>6788742</v>
      </c>
      <c r="F770" s="6"/>
      <c r="G770" s="7">
        <f t="shared" si="44"/>
        <v>1248275</v>
      </c>
      <c r="H770" s="12">
        <f t="shared" si="45"/>
        <v>2.2124730969281985</v>
      </c>
      <c r="I770" s="12">
        <f t="shared" si="46"/>
        <v>82.599587752895559</v>
      </c>
      <c r="J770">
        <f t="shared" si="47"/>
        <v>4006</v>
      </c>
      <c r="M770" s="5" t="s">
        <v>109</v>
      </c>
      <c r="N770" s="7">
        <v>1248275</v>
      </c>
    </row>
    <row r="771" spans="1:14" x14ac:dyDescent="0.3">
      <c r="A771" s="5" t="s">
        <v>109</v>
      </c>
      <c r="B771" s="6" t="s">
        <v>10</v>
      </c>
      <c r="C771" s="6">
        <v>8241134</v>
      </c>
      <c r="D771" s="6">
        <v>247052</v>
      </c>
      <c r="E771" s="6">
        <v>7383783</v>
      </c>
      <c r="F771" s="6"/>
      <c r="G771" s="7">
        <f t="shared" ref="G771:G834" si="48" xml:space="preserve"> C771-D771-E771</f>
        <v>610299</v>
      </c>
      <c r="H771" s="12">
        <f t="shared" ref="H771:H834" si="49">D771/C771*100</f>
        <v>2.9977913233785545</v>
      </c>
      <c r="I771" s="12">
        <f t="shared" ref="I771:I834" si="50">E771/C771*100</f>
        <v>89.596686572503245</v>
      </c>
      <c r="J771">
        <f t="shared" ref="J771:J834" si="51">IF(B771=B770,C771-C770,"")</f>
        <v>22277</v>
      </c>
      <c r="M771" s="5" t="s">
        <v>109</v>
      </c>
      <c r="N771" s="7">
        <v>610299</v>
      </c>
    </row>
    <row r="772" spans="1:14" x14ac:dyDescent="0.3">
      <c r="A772" s="5" t="s">
        <v>109</v>
      </c>
      <c r="B772" s="6" t="s">
        <v>10</v>
      </c>
      <c r="C772" s="6">
        <v>8288131</v>
      </c>
      <c r="D772" s="6">
        <v>84127</v>
      </c>
      <c r="E772" s="6">
        <v>6657574</v>
      </c>
      <c r="F772" s="6"/>
      <c r="G772" s="7">
        <f t="shared" si="48"/>
        <v>1546430</v>
      </c>
      <c r="H772" s="12">
        <f t="shared" si="49"/>
        <v>1.0150298058754139</v>
      </c>
      <c r="I772" s="12">
        <f t="shared" si="50"/>
        <v>80.326601980591278</v>
      </c>
      <c r="J772">
        <f t="shared" si="51"/>
        <v>46997</v>
      </c>
      <c r="M772" s="5" t="s">
        <v>109</v>
      </c>
      <c r="N772" s="7">
        <v>1546430</v>
      </c>
    </row>
    <row r="773" spans="1:14" x14ac:dyDescent="0.3">
      <c r="A773" s="5" t="s">
        <v>109</v>
      </c>
      <c r="B773" s="6" t="s">
        <v>10</v>
      </c>
      <c r="C773" s="6">
        <v>8317698</v>
      </c>
      <c r="D773" s="6">
        <v>133838</v>
      </c>
      <c r="E773" s="6">
        <v>6733876</v>
      </c>
      <c r="F773" s="6"/>
      <c r="G773" s="7">
        <f t="shared" si="48"/>
        <v>1449984</v>
      </c>
      <c r="H773" s="12">
        <f t="shared" si="49"/>
        <v>1.6090750108984482</v>
      </c>
      <c r="I773" s="12">
        <f t="shared" si="50"/>
        <v>80.958409406064035</v>
      </c>
      <c r="J773">
        <f t="shared" si="51"/>
        <v>29567</v>
      </c>
      <c r="M773" s="5" t="s">
        <v>109</v>
      </c>
      <c r="N773" s="7">
        <v>1449984</v>
      </c>
    </row>
    <row r="774" spans="1:14" x14ac:dyDescent="0.3">
      <c r="A774" s="5" t="s">
        <v>109</v>
      </c>
      <c r="B774" s="6" t="s">
        <v>10</v>
      </c>
      <c r="C774" s="6">
        <v>8362694</v>
      </c>
      <c r="D774" s="6">
        <v>182202</v>
      </c>
      <c r="E774" s="6">
        <v>5876395</v>
      </c>
      <c r="F774" s="6"/>
      <c r="G774" s="7">
        <f t="shared" si="48"/>
        <v>2304097</v>
      </c>
      <c r="H774" s="12">
        <f t="shared" si="49"/>
        <v>2.1787476619376482</v>
      </c>
      <c r="I774" s="12">
        <f t="shared" si="50"/>
        <v>70.269162066673729</v>
      </c>
      <c r="J774">
        <f t="shared" si="51"/>
        <v>44996</v>
      </c>
      <c r="M774" s="5" t="s">
        <v>109</v>
      </c>
      <c r="N774" s="7">
        <v>2304097</v>
      </c>
    </row>
    <row r="775" spans="1:14" x14ac:dyDescent="0.3">
      <c r="A775" s="5" t="s">
        <v>109</v>
      </c>
      <c r="B775" s="6" t="s">
        <v>10</v>
      </c>
      <c r="C775" s="6">
        <v>8383656</v>
      </c>
      <c r="D775" s="6">
        <v>227723</v>
      </c>
      <c r="E775" s="6">
        <v>6189268</v>
      </c>
      <c r="F775" s="6"/>
      <c r="G775" s="7">
        <f t="shared" si="48"/>
        <v>1966665</v>
      </c>
      <c r="H775" s="12">
        <f t="shared" si="49"/>
        <v>2.7162731867815189</v>
      </c>
      <c r="I775" s="12">
        <f t="shared" si="50"/>
        <v>73.825405050016371</v>
      </c>
      <c r="J775">
        <f t="shared" si="51"/>
        <v>20962</v>
      </c>
      <c r="M775" s="5" t="s">
        <v>109</v>
      </c>
      <c r="N775" s="7">
        <v>1966665</v>
      </c>
    </row>
    <row r="776" spans="1:14" x14ac:dyDescent="0.3">
      <c r="A776" s="5" t="s">
        <v>109</v>
      </c>
      <c r="B776" s="6" t="s">
        <v>10</v>
      </c>
      <c r="C776" s="6">
        <v>8406576</v>
      </c>
      <c r="D776" s="6">
        <v>116310</v>
      </c>
      <c r="E776" s="6">
        <v>6112660</v>
      </c>
      <c r="F776" s="6"/>
      <c r="G776" s="7">
        <f t="shared" si="48"/>
        <v>2177606</v>
      </c>
      <c r="H776" s="12">
        <f t="shared" si="49"/>
        <v>1.3835597275275926</v>
      </c>
      <c r="I776" s="12">
        <f t="shared" si="50"/>
        <v>72.712838140046557</v>
      </c>
      <c r="J776">
        <f t="shared" si="51"/>
        <v>22920</v>
      </c>
      <c r="M776" s="5" t="s">
        <v>109</v>
      </c>
      <c r="N776" s="7">
        <v>2177606</v>
      </c>
    </row>
    <row r="777" spans="1:14" x14ac:dyDescent="0.3">
      <c r="A777" s="5" t="s">
        <v>109</v>
      </c>
      <c r="B777" s="6" t="s">
        <v>10</v>
      </c>
      <c r="C777" s="6">
        <v>8441627</v>
      </c>
      <c r="D777" s="6">
        <v>159869</v>
      </c>
      <c r="E777" s="6">
        <v>6005322</v>
      </c>
      <c r="F777" s="6"/>
      <c r="G777" s="7">
        <f t="shared" si="48"/>
        <v>2276436</v>
      </c>
      <c r="H777" s="12">
        <f t="shared" si="49"/>
        <v>1.8938173885200094</v>
      </c>
      <c r="I777" s="12">
        <f t="shared" si="50"/>
        <v>71.139390546395859</v>
      </c>
      <c r="J777">
        <f t="shared" si="51"/>
        <v>35051</v>
      </c>
      <c r="M777" s="5" t="s">
        <v>109</v>
      </c>
      <c r="N777" s="7">
        <v>2276436</v>
      </c>
    </row>
    <row r="778" spans="1:14" x14ac:dyDescent="0.3">
      <c r="A778" s="5" t="s">
        <v>110</v>
      </c>
      <c r="B778" s="6" t="s">
        <v>10</v>
      </c>
      <c r="C778" s="6">
        <v>8473849</v>
      </c>
      <c r="D778" s="6">
        <v>90949</v>
      </c>
      <c r="E778" s="6">
        <v>6117907</v>
      </c>
      <c r="F778" s="6"/>
      <c r="G778" s="7">
        <f t="shared" si="48"/>
        <v>2264993</v>
      </c>
      <c r="H778" s="12">
        <f t="shared" si="49"/>
        <v>1.0732903076276199</v>
      </c>
      <c r="I778" s="12">
        <f t="shared" si="50"/>
        <v>72.19749844492155</v>
      </c>
      <c r="J778">
        <f t="shared" si="51"/>
        <v>32222</v>
      </c>
      <c r="M778" s="5" t="s">
        <v>110</v>
      </c>
      <c r="N778" s="7">
        <v>2264993</v>
      </c>
    </row>
    <row r="779" spans="1:14" x14ac:dyDescent="0.3">
      <c r="A779" s="5" t="s">
        <v>110</v>
      </c>
      <c r="B779" s="6" t="s">
        <v>10</v>
      </c>
      <c r="C779" s="6">
        <v>8513528</v>
      </c>
      <c r="D779" s="6">
        <v>98698</v>
      </c>
      <c r="E779" s="6">
        <v>6774232</v>
      </c>
      <c r="F779" s="6"/>
      <c r="G779" s="7">
        <f t="shared" si="48"/>
        <v>1640598</v>
      </c>
      <c r="H779" s="12">
        <f t="shared" si="49"/>
        <v>1.1593078686062934</v>
      </c>
      <c r="I779" s="12">
        <f t="shared" si="50"/>
        <v>79.570208731327369</v>
      </c>
      <c r="J779">
        <f t="shared" si="51"/>
        <v>39679</v>
      </c>
      <c r="M779" s="5" t="s">
        <v>110</v>
      </c>
      <c r="N779" s="7">
        <v>1640598</v>
      </c>
    </row>
    <row r="780" spans="1:14" x14ac:dyDescent="0.3">
      <c r="A780" s="5" t="s">
        <v>110</v>
      </c>
      <c r="B780" s="6" t="s">
        <v>10</v>
      </c>
      <c r="C780" s="6">
        <v>8535726</v>
      </c>
      <c r="D780" s="6">
        <v>168228</v>
      </c>
      <c r="E780" s="6">
        <v>6573759</v>
      </c>
      <c r="F780" s="6"/>
      <c r="G780" s="7">
        <f t="shared" si="48"/>
        <v>1793739</v>
      </c>
      <c r="H780" s="12">
        <f t="shared" si="49"/>
        <v>1.9708692617359087</v>
      </c>
      <c r="I780" s="12">
        <f t="shared" si="50"/>
        <v>77.01464409705747</v>
      </c>
      <c r="J780">
        <f t="shared" si="51"/>
        <v>22198</v>
      </c>
      <c r="M780" s="5" t="s">
        <v>110</v>
      </c>
      <c r="N780" s="7">
        <v>1793739</v>
      </c>
    </row>
    <row r="781" spans="1:14" x14ac:dyDescent="0.3">
      <c r="A781" s="5" t="s">
        <v>110</v>
      </c>
      <c r="B781" s="6" t="s">
        <v>10</v>
      </c>
      <c r="C781" s="6">
        <v>8549734</v>
      </c>
      <c r="D781" s="6">
        <v>230653</v>
      </c>
      <c r="E781" s="6">
        <v>7683870</v>
      </c>
      <c r="F781" s="6"/>
      <c r="G781" s="7">
        <f t="shared" si="48"/>
        <v>635211</v>
      </c>
      <c r="H781" s="12">
        <f t="shared" si="49"/>
        <v>2.697779837361022</v>
      </c>
      <c r="I781" s="12">
        <f t="shared" si="50"/>
        <v>89.872620598488794</v>
      </c>
      <c r="J781">
        <f t="shared" si="51"/>
        <v>14008</v>
      </c>
      <c r="M781" s="5" t="s">
        <v>110</v>
      </c>
      <c r="N781" s="7">
        <v>635211</v>
      </c>
    </row>
    <row r="782" spans="1:14" x14ac:dyDescent="0.3">
      <c r="A782" s="5" t="s">
        <v>110</v>
      </c>
      <c r="B782" s="6" t="s">
        <v>10</v>
      </c>
      <c r="C782" s="6">
        <v>8581389</v>
      </c>
      <c r="D782" s="6">
        <v>108443</v>
      </c>
      <c r="E782" s="6">
        <v>6358365</v>
      </c>
      <c r="F782" s="6"/>
      <c r="G782" s="7">
        <f t="shared" si="48"/>
        <v>2114581</v>
      </c>
      <c r="H782" s="12">
        <f t="shared" si="49"/>
        <v>1.26369985092157</v>
      </c>
      <c r="I782" s="12">
        <f t="shared" si="50"/>
        <v>74.094823110804086</v>
      </c>
      <c r="J782">
        <f t="shared" si="51"/>
        <v>31655</v>
      </c>
      <c r="M782" s="5" t="s">
        <v>110</v>
      </c>
      <c r="N782" s="7">
        <v>2114581</v>
      </c>
    </row>
    <row r="783" spans="1:14" x14ac:dyDescent="0.3">
      <c r="A783" s="5" t="s">
        <v>110</v>
      </c>
      <c r="B783" s="6" t="s">
        <v>10</v>
      </c>
      <c r="C783" s="6">
        <v>8614079</v>
      </c>
      <c r="D783" s="6">
        <v>250203</v>
      </c>
      <c r="E783" s="6">
        <v>6657127</v>
      </c>
      <c r="F783" s="6"/>
      <c r="G783" s="7">
        <f t="shared" si="48"/>
        <v>1706749</v>
      </c>
      <c r="H783" s="12">
        <f t="shared" si="49"/>
        <v>2.9045821381484891</v>
      </c>
      <c r="I783" s="12">
        <f t="shared" si="50"/>
        <v>77.281935770498507</v>
      </c>
      <c r="J783">
        <f t="shared" si="51"/>
        <v>32690</v>
      </c>
      <c r="M783" s="5" t="s">
        <v>110</v>
      </c>
      <c r="N783" s="7">
        <v>1706749</v>
      </c>
    </row>
    <row r="784" spans="1:14" x14ac:dyDescent="0.3">
      <c r="A784" s="5" t="s">
        <v>110</v>
      </c>
      <c r="B784" s="6" t="s">
        <v>10</v>
      </c>
      <c r="C784" s="6">
        <v>8631520</v>
      </c>
      <c r="D784" s="6">
        <v>123597</v>
      </c>
      <c r="E784" s="6">
        <v>7143364</v>
      </c>
      <c r="F784" s="6"/>
      <c r="G784" s="7">
        <f t="shared" si="48"/>
        <v>1364559</v>
      </c>
      <c r="H784" s="12">
        <f t="shared" si="49"/>
        <v>1.4319262424231189</v>
      </c>
      <c r="I784" s="12">
        <f t="shared" si="50"/>
        <v>82.759050549613505</v>
      </c>
      <c r="J784">
        <f t="shared" si="51"/>
        <v>17441</v>
      </c>
      <c r="M784" s="5" t="s">
        <v>110</v>
      </c>
      <c r="N784" s="7">
        <v>1364559</v>
      </c>
    </row>
    <row r="785" spans="1:14" x14ac:dyDescent="0.3">
      <c r="A785" s="5" t="s">
        <v>110</v>
      </c>
      <c r="B785" s="6" t="s">
        <v>10</v>
      </c>
      <c r="C785" s="6">
        <v>8654693</v>
      </c>
      <c r="D785" s="6">
        <v>114717</v>
      </c>
      <c r="E785" s="6">
        <v>7031082</v>
      </c>
      <c r="F785" s="6"/>
      <c r="G785" s="7">
        <f t="shared" si="48"/>
        <v>1508894</v>
      </c>
      <c r="H785" s="12">
        <f t="shared" si="49"/>
        <v>1.3254889572628401</v>
      </c>
      <c r="I785" s="12">
        <f t="shared" si="50"/>
        <v>81.240108690163822</v>
      </c>
      <c r="J785">
        <f t="shared" si="51"/>
        <v>23173</v>
      </c>
      <c r="M785" s="5" t="s">
        <v>110</v>
      </c>
      <c r="N785" s="7">
        <v>1508894</v>
      </c>
    </row>
    <row r="786" spans="1:14" x14ac:dyDescent="0.3">
      <c r="A786" s="5" t="s">
        <v>111</v>
      </c>
      <c r="B786" s="6" t="s">
        <v>10</v>
      </c>
      <c r="C786" s="6">
        <v>8698593</v>
      </c>
      <c r="D786" s="6">
        <v>115815</v>
      </c>
      <c r="E786" s="6">
        <v>7768790</v>
      </c>
      <c r="F786" s="6"/>
      <c r="G786" s="7">
        <f t="shared" si="48"/>
        <v>813988</v>
      </c>
      <c r="H786" s="12">
        <f t="shared" si="49"/>
        <v>1.3314222196624212</v>
      </c>
      <c r="I786" s="12">
        <f t="shared" si="50"/>
        <v>89.310880506767006</v>
      </c>
      <c r="J786">
        <f t="shared" si="51"/>
        <v>43900</v>
      </c>
      <c r="M786" s="5" t="s">
        <v>111</v>
      </c>
      <c r="N786" s="7">
        <v>813988</v>
      </c>
    </row>
    <row r="787" spans="1:14" x14ac:dyDescent="0.3">
      <c r="A787" s="5" t="s">
        <v>111</v>
      </c>
      <c r="B787" s="6" t="s">
        <v>10</v>
      </c>
      <c r="C787" s="6">
        <v>8704710</v>
      </c>
      <c r="D787" s="6">
        <v>228129</v>
      </c>
      <c r="E787" s="6">
        <v>7365838</v>
      </c>
      <c r="F787" s="6"/>
      <c r="G787" s="7">
        <f t="shared" si="48"/>
        <v>1110743</v>
      </c>
      <c r="H787" s="12">
        <f t="shared" si="49"/>
        <v>2.6207535920208715</v>
      </c>
      <c r="I787" s="12">
        <f t="shared" si="50"/>
        <v>84.618993625290216</v>
      </c>
      <c r="J787">
        <f t="shared" si="51"/>
        <v>6117</v>
      </c>
      <c r="M787" s="5" t="s">
        <v>111</v>
      </c>
      <c r="N787" s="7">
        <v>1110743</v>
      </c>
    </row>
    <row r="788" spans="1:14" x14ac:dyDescent="0.3">
      <c r="A788" s="5" t="s">
        <v>111</v>
      </c>
      <c r="B788" s="6" t="s">
        <v>10</v>
      </c>
      <c r="C788" s="6">
        <v>8754294</v>
      </c>
      <c r="D788" s="6">
        <v>130293</v>
      </c>
      <c r="E788" s="6">
        <v>7120561</v>
      </c>
      <c r="F788" s="6"/>
      <c r="G788" s="7">
        <f t="shared" si="48"/>
        <v>1503440</v>
      </c>
      <c r="H788" s="12">
        <f t="shared" si="49"/>
        <v>1.4883324686148307</v>
      </c>
      <c r="I788" s="12">
        <f t="shared" si="50"/>
        <v>81.337923994784731</v>
      </c>
      <c r="J788">
        <f t="shared" si="51"/>
        <v>49584</v>
      </c>
      <c r="M788" s="5" t="s">
        <v>111</v>
      </c>
      <c r="N788" s="7">
        <v>1503440</v>
      </c>
    </row>
    <row r="789" spans="1:14" x14ac:dyDescent="0.3">
      <c r="A789" s="5" t="s">
        <v>111</v>
      </c>
      <c r="B789" s="6" t="s">
        <v>10</v>
      </c>
      <c r="C789" s="6">
        <v>8776396</v>
      </c>
      <c r="D789" s="6">
        <v>91532</v>
      </c>
      <c r="E789" s="6">
        <v>6737429</v>
      </c>
      <c r="F789" s="6"/>
      <c r="G789" s="7">
        <f t="shared" si="48"/>
        <v>1947435</v>
      </c>
      <c r="H789" s="12">
        <f t="shared" si="49"/>
        <v>1.0429337965151071</v>
      </c>
      <c r="I789" s="12">
        <f t="shared" si="50"/>
        <v>76.767604834604086</v>
      </c>
      <c r="J789">
        <f t="shared" si="51"/>
        <v>22102</v>
      </c>
      <c r="M789" s="5" t="s">
        <v>111</v>
      </c>
      <c r="N789" s="7">
        <v>1947435</v>
      </c>
    </row>
    <row r="790" spans="1:14" x14ac:dyDescent="0.3">
      <c r="A790" s="5" t="s">
        <v>111</v>
      </c>
      <c r="B790" s="6" t="s">
        <v>10</v>
      </c>
      <c r="C790" s="6">
        <v>8791900</v>
      </c>
      <c r="D790" s="6">
        <v>179618</v>
      </c>
      <c r="E790" s="6">
        <v>6941114</v>
      </c>
      <c r="F790" s="6"/>
      <c r="G790" s="7">
        <f t="shared" si="48"/>
        <v>1671168</v>
      </c>
      <c r="H790" s="12">
        <f t="shared" si="49"/>
        <v>2.0429941195873473</v>
      </c>
      <c r="I790" s="12">
        <f t="shared" si="50"/>
        <v>78.948964387675019</v>
      </c>
      <c r="J790">
        <f t="shared" si="51"/>
        <v>15504</v>
      </c>
      <c r="M790" s="5" t="s">
        <v>111</v>
      </c>
      <c r="N790" s="7">
        <v>1671168</v>
      </c>
    </row>
    <row r="791" spans="1:14" x14ac:dyDescent="0.3">
      <c r="A791" s="5" t="s">
        <v>111</v>
      </c>
      <c r="B791" s="6" t="s">
        <v>10</v>
      </c>
      <c r="C791" s="6">
        <v>8826620</v>
      </c>
      <c r="D791" s="6">
        <v>197699</v>
      </c>
      <c r="E791" s="6">
        <v>7862014</v>
      </c>
      <c r="F791" s="6"/>
      <c r="G791" s="7">
        <f t="shared" si="48"/>
        <v>766907</v>
      </c>
      <c r="H791" s="12">
        <f t="shared" si="49"/>
        <v>2.2398041379372855</v>
      </c>
      <c r="I791" s="12">
        <f t="shared" si="50"/>
        <v>89.071626511620522</v>
      </c>
      <c r="J791">
        <f t="shared" si="51"/>
        <v>34720</v>
      </c>
      <c r="M791" s="5" t="s">
        <v>111</v>
      </c>
      <c r="N791" s="7">
        <v>766907</v>
      </c>
    </row>
    <row r="792" spans="1:14" x14ac:dyDescent="0.3">
      <c r="A792" s="5" t="s">
        <v>111</v>
      </c>
      <c r="B792" s="6" t="s">
        <v>10</v>
      </c>
      <c r="C792" s="6">
        <v>8835177</v>
      </c>
      <c r="D792" s="6">
        <v>108525</v>
      </c>
      <c r="E792" s="6">
        <v>6892737</v>
      </c>
      <c r="F792" s="6"/>
      <c r="G792" s="7">
        <f t="shared" si="48"/>
        <v>1833915</v>
      </c>
      <c r="H792" s="12">
        <f t="shared" si="49"/>
        <v>1.2283285326372069</v>
      </c>
      <c r="I792" s="12">
        <f t="shared" si="50"/>
        <v>78.014701912593267</v>
      </c>
      <c r="J792">
        <f t="shared" si="51"/>
        <v>8557</v>
      </c>
      <c r="M792" s="5" t="s">
        <v>111</v>
      </c>
      <c r="N792" s="7">
        <v>1833915</v>
      </c>
    </row>
    <row r="793" spans="1:14" x14ac:dyDescent="0.3">
      <c r="A793" s="5" t="s">
        <v>111</v>
      </c>
      <c r="B793" s="6" t="s">
        <v>10</v>
      </c>
      <c r="C793" s="6">
        <v>8872771</v>
      </c>
      <c r="D793" s="6">
        <v>132684</v>
      </c>
      <c r="E793" s="6">
        <v>7712528</v>
      </c>
      <c r="F793" s="6"/>
      <c r="G793" s="7">
        <f t="shared" si="48"/>
        <v>1027559</v>
      </c>
      <c r="H793" s="12">
        <f t="shared" si="49"/>
        <v>1.4954065646459265</v>
      </c>
      <c r="I793" s="12">
        <f t="shared" si="50"/>
        <v>86.923555223052645</v>
      </c>
      <c r="J793">
        <f t="shared" si="51"/>
        <v>37594</v>
      </c>
      <c r="M793" s="5" t="s">
        <v>111</v>
      </c>
      <c r="N793" s="7">
        <v>1027559</v>
      </c>
    </row>
    <row r="794" spans="1:14" x14ac:dyDescent="0.3">
      <c r="A794" s="5" t="s">
        <v>112</v>
      </c>
      <c r="B794" s="6" t="s">
        <v>10</v>
      </c>
      <c r="C794" s="6">
        <v>8885331</v>
      </c>
      <c r="D794" s="6">
        <v>130251</v>
      </c>
      <c r="E794" s="6">
        <v>6594405</v>
      </c>
      <c r="F794" s="6"/>
      <c r="G794" s="7">
        <f t="shared" si="48"/>
        <v>2160675</v>
      </c>
      <c r="H794" s="12">
        <f t="shared" si="49"/>
        <v>1.4659104990011063</v>
      </c>
      <c r="I794" s="12">
        <f t="shared" si="50"/>
        <v>74.216762436874887</v>
      </c>
      <c r="J794">
        <f t="shared" si="51"/>
        <v>12560</v>
      </c>
      <c r="M794" s="5" t="s">
        <v>112</v>
      </c>
      <c r="N794" s="7">
        <v>2160675</v>
      </c>
    </row>
    <row r="795" spans="1:14" x14ac:dyDescent="0.3">
      <c r="A795" s="5" t="s">
        <v>112</v>
      </c>
      <c r="B795" s="6" t="s">
        <v>10</v>
      </c>
      <c r="C795" s="6">
        <v>8914813</v>
      </c>
      <c r="D795" s="6">
        <v>221891</v>
      </c>
      <c r="E795" s="6">
        <v>7000474</v>
      </c>
      <c r="F795" s="6"/>
      <c r="G795" s="7">
        <f t="shared" si="48"/>
        <v>1692448</v>
      </c>
      <c r="H795" s="12">
        <f t="shared" si="49"/>
        <v>2.4890146321633444</v>
      </c>
      <c r="I795" s="12">
        <f t="shared" si="50"/>
        <v>78.526313451555296</v>
      </c>
      <c r="J795">
        <f t="shared" si="51"/>
        <v>29482</v>
      </c>
      <c r="M795" s="5" t="s">
        <v>112</v>
      </c>
      <c r="N795" s="7">
        <v>1692448</v>
      </c>
    </row>
    <row r="796" spans="1:14" x14ac:dyDescent="0.3">
      <c r="A796" s="5" t="s">
        <v>112</v>
      </c>
      <c r="B796" s="6" t="s">
        <v>10</v>
      </c>
      <c r="C796" s="6">
        <v>8951284</v>
      </c>
      <c r="D796" s="6">
        <v>127640</v>
      </c>
      <c r="E796" s="6">
        <v>7370107</v>
      </c>
      <c r="F796" s="6"/>
      <c r="G796" s="7">
        <f t="shared" si="48"/>
        <v>1453537</v>
      </c>
      <c r="H796" s="12">
        <f t="shared" si="49"/>
        <v>1.4259406806889381</v>
      </c>
      <c r="I796" s="12">
        <f t="shared" si="50"/>
        <v>82.335752055235872</v>
      </c>
      <c r="J796">
        <f t="shared" si="51"/>
        <v>36471</v>
      </c>
      <c r="M796" s="5" t="s">
        <v>112</v>
      </c>
      <c r="N796" s="7">
        <v>1453537</v>
      </c>
    </row>
    <row r="797" spans="1:14" x14ac:dyDescent="0.3">
      <c r="A797" s="5" t="s">
        <v>112</v>
      </c>
      <c r="B797" s="6" t="s">
        <v>10</v>
      </c>
      <c r="C797" s="6">
        <v>8994317</v>
      </c>
      <c r="D797" s="6">
        <v>160810</v>
      </c>
      <c r="E797" s="6">
        <v>7778209</v>
      </c>
      <c r="F797" s="6"/>
      <c r="G797" s="7">
        <f t="shared" si="48"/>
        <v>1055298</v>
      </c>
      <c r="H797" s="12">
        <f t="shared" si="49"/>
        <v>1.7879067415569185</v>
      </c>
      <c r="I797" s="12">
        <f t="shared" si="50"/>
        <v>86.47915122404514</v>
      </c>
      <c r="J797">
        <f t="shared" si="51"/>
        <v>43033</v>
      </c>
      <c r="M797" s="5" t="s">
        <v>112</v>
      </c>
      <c r="N797" s="7">
        <v>1055298</v>
      </c>
    </row>
    <row r="798" spans="1:14" x14ac:dyDescent="0.3">
      <c r="A798" s="5" t="s">
        <v>112</v>
      </c>
      <c r="B798" s="6" t="s">
        <v>10</v>
      </c>
      <c r="C798" s="6">
        <v>9043740</v>
      </c>
      <c r="D798" s="6">
        <v>189378</v>
      </c>
      <c r="E798" s="6">
        <v>7013752</v>
      </c>
      <c r="F798" s="6"/>
      <c r="G798" s="7">
        <f t="shared" si="48"/>
        <v>1840610</v>
      </c>
      <c r="H798" s="12">
        <f t="shared" si="49"/>
        <v>2.0940230479867838</v>
      </c>
      <c r="I798" s="12">
        <f t="shared" si="50"/>
        <v>77.55366695636981</v>
      </c>
      <c r="J798">
        <f t="shared" si="51"/>
        <v>49423</v>
      </c>
      <c r="M798" s="5" t="s">
        <v>112</v>
      </c>
      <c r="N798" s="7">
        <v>1840610</v>
      </c>
    </row>
    <row r="799" spans="1:14" x14ac:dyDescent="0.3">
      <c r="A799" s="5" t="s">
        <v>112</v>
      </c>
      <c r="B799" s="6" t="s">
        <v>10</v>
      </c>
      <c r="C799" s="6">
        <v>9065814</v>
      </c>
      <c r="D799" s="6">
        <v>200033</v>
      </c>
      <c r="E799" s="6">
        <v>7975043</v>
      </c>
      <c r="F799" s="6"/>
      <c r="G799" s="7">
        <f t="shared" si="48"/>
        <v>890738</v>
      </c>
      <c r="H799" s="12">
        <f t="shared" si="49"/>
        <v>2.206453827532751</v>
      </c>
      <c r="I799" s="12">
        <f t="shared" si="50"/>
        <v>87.968305989953024</v>
      </c>
      <c r="J799">
        <f t="shared" si="51"/>
        <v>22074</v>
      </c>
      <c r="M799" s="5" t="s">
        <v>112</v>
      </c>
      <c r="N799" s="7">
        <v>890738</v>
      </c>
    </row>
    <row r="800" spans="1:14" x14ac:dyDescent="0.3">
      <c r="A800" s="5" t="s">
        <v>112</v>
      </c>
      <c r="B800" s="6" t="s">
        <v>10</v>
      </c>
      <c r="C800" s="6">
        <v>9101503</v>
      </c>
      <c r="D800" s="6">
        <v>127704</v>
      </c>
      <c r="E800" s="6">
        <v>7147881</v>
      </c>
      <c r="F800" s="6"/>
      <c r="G800" s="7">
        <f t="shared" si="48"/>
        <v>1825918</v>
      </c>
      <c r="H800" s="12">
        <f t="shared" si="49"/>
        <v>1.4031089150879805</v>
      </c>
      <c r="I800" s="12">
        <f t="shared" si="50"/>
        <v>78.535171608469497</v>
      </c>
      <c r="J800">
        <f t="shared" si="51"/>
        <v>35689</v>
      </c>
      <c r="M800" s="5" t="s">
        <v>112</v>
      </c>
      <c r="N800" s="7">
        <v>1825918</v>
      </c>
    </row>
    <row r="801" spans="1:14" x14ac:dyDescent="0.3">
      <c r="A801" s="5" t="s">
        <v>112</v>
      </c>
      <c r="B801" s="6" t="s">
        <v>10</v>
      </c>
      <c r="C801" s="6">
        <v>9134943</v>
      </c>
      <c r="D801" s="6">
        <v>180130</v>
      </c>
      <c r="E801" s="6">
        <v>7767409</v>
      </c>
      <c r="F801" s="6"/>
      <c r="G801" s="7">
        <f t="shared" si="48"/>
        <v>1187404</v>
      </c>
      <c r="H801" s="12">
        <f t="shared" si="49"/>
        <v>1.9718787517338643</v>
      </c>
      <c r="I801" s="12">
        <f t="shared" si="50"/>
        <v>85.02963838964294</v>
      </c>
      <c r="J801">
        <f t="shared" si="51"/>
        <v>33440</v>
      </c>
      <c r="M801" s="5" t="s">
        <v>112</v>
      </c>
      <c r="N801" s="7">
        <v>1187404</v>
      </c>
    </row>
    <row r="802" spans="1:14" x14ac:dyDescent="0.3">
      <c r="A802" s="5" t="s">
        <v>113</v>
      </c>
      <c r="B802" s="6" t="s">
        <v>10</v>
      </c>
      <c r="C802" s="6">
        <v>9150297</v>
      </c>
      <c r="D802" s="6">
        <v>243058</v>
      </c>
      <c r="E802" s="6">
        <v>7069784</v>
      </c>
      <c r="F802" s="6"/>
      <c r="G802" s="7">
        <f t="shared" si="48"/>
        <v>1837455</v>
      </c>
      <c r="H802" s="12">
        <f t="shared" si="49"/>
        <v>2.6562853642892685</v>
      </c>
      <c r="I802" s="12">
        <f t="shared" si="50"/>
        <v>77.262891029657283</v>
      </c>
      <c r="J802">
        <f t="shared" si="51"/>
        <v>15354</v>
      </c>
      <c r="M802" s="5" t="s">
        <v>113</v>
      </c>
      <c r="N802" s="7">
        <v>1837455</v>
      </c>
    </row>
    <row r="803" spans="1:14" x14ac:dyDescent="0.3">
      <c r="A803" s="5" t="s">
        <v>113</v>
      </c>
      <c r="B803" s="6" t="s">
        <v>10</v>
      </c>
      <c r="C803" s="6">
        <v>9169871</v>
      </c>
      <c r="D803" s="6">
        <v>232981</v>
      </c>
      <c r="E803" s="6">
        <v>7092622</v>
      </c>
      <c r="F803" s="6"/>
      <c r="G803" s="7">
        <f t="shared" si="48"/>
        <v>1844268</v>
      </c>
      <c r="H803" s="12">
        <f t="shared" si="49"/>
        <v>2.5407227648022528</v>
      </c>
      <c r="I803" s="12">
        <f t="shared" si="50"/>
        <v>77.347020476078683</v>
      </c>
      <c r="J803">
        <f t="shared" si="51"/>
        <v>19574</v>
      </c>
      <c r="M803" s="5" t="s">
        <v>113</v>
      </c>
      <c r="N803" s="7">
        <v>1844268</v>
      </c>
    </row>
    <row r="804" spans="1:14" x14ac:dyDescent="0.3">
      <c r="A804" s="5" t="s">
        <v>113</v>
      </c>
      <c r="B804" s="6" t="s">
        <v>10</v>
      </c>
      <c r="C804" s="6">
        <v>9172254</v>
      </c>
      <c r="D804" s="6">
        <v>236701</v>
      </c>
      <c r="E804" s="6">
        <v>7411501</v>
      </c>
      <c r="F804" s="6"/>
      <c r="G804" s="7">
        <f t="shared" si="48"/>
        <v>1524052</v>
      </c>
      <c r="H804" s="12">
        <f t="shared" si="49"/>
        <v>2.5806197691428956</v>
      </c>
      <c r="I804" s="12">
        <f t="shared" si="50"/>
        <v>80.803486253215411</v>
      </c>
      <c r="J804">
        <f t="shared" si="51"/>
        <v>2383</v>
      </c>
      <c r="M804" s="5" t="s">
        <v>113</v>
      </c>
      <c r="N804" s="7">
        <v>1524052</v>
      </c>
    </row>
    <row r="805" spans="1:14" x14ac:dyDescent="0.3">
      <c r="A805" s="5" t="s">
        <v>113</v>
      </c>
      <c r="B805" s="6" t="s">
        <v>10</v>
      </c>
      <c r="C805" s="6">
        <v>9179246</v>
      </c>
      <c r="D805" s="6">
        <v>161959</v>
      </c>
      <c r="E805" s="6">
        <v>7083716</v>
      </c>
      <c r="F805" s="6"/>
      <c r="G805" s="7">
        <f t="shared" si="48"/>
        <v>1933571</v>
      </c>
      <c r="H805" s="12">
        <f t="shared" si="49"/>
        <v>1.7644041787310198</v>
      </c>
      <c r="I805" s="12">
        <f t="shared" si="50"/>
        <v>77.171000755399731</v>
      </c>
      <c r="J805">
        <f t="shared" si="51"/>
        <v>6992</v>
      </c>
      <c r="M805" s="5" t="s">
        <v>113</v>
      </c>
      <c r="N805" s="7">
        <v>1933571</v>
      </c>
    </row>
    <row r="806" spans="1:14" x14ac:dyDescent="0.3">
      <c r="A806" s="5" t="s">
        <v>113</v>
      </c>
      <c r="B806" s="6" t="s">
        <v>10</v>
      </c>
      <c r="C806" s="6">
        <v>9219671</v>
      </c>
      <c r="D806" s="6">
        <v>254412</v>
      </c>
      <c r="E806" s="6">
        <v>7973647</v>
      </c>
      <c r="F806" s="6"/>
      <c r="G806" s="7">
        <f t="shared" si="48"/>
        <v>991612</v>
      </c>
      <c r="H806" s="12">
        <f t="shared" si="49"/>
        <v>2.759447706973492</v>
      </c>
      <c r="I806" s="12">
        <f t="shared" si="50"/>
        <v>86.485157659096515</v>
      </c>
      <c r="J806">
        <f t="shared" si="51"/>
        <v>40425</v>
      </c>
      <c r="M806" s="5" t="s">
        <v>113</v>
      </c>
      <c r="N806" s="7">
        <v>991612</v>
      </c>
    </row>
    <row r="807" spans="1:14" x14ac:dyDescent="0.3">
      <c r="A807" s="5" t="s">
        <v>113</v>
      </c>
      <c r="B807" s="6" t="s">
        <v>10</v>
      </c>
      <c r="C807" s="6">
        <v>9259981</v>
      </c>
      <c r="D807" s="6">
        <v>258826</v>
      </c>
      <c r="E807" s="6">
        <v>8319539</v>
      </c>
      <c r="F807" s="6"/>
      <c r="G807" s="7">
        <f t="shared" si="48"/>
        <v>681616</v>
      </c>
      <c r="H807" s="12">
        <f t="shared" si="49"/>
        <v>2.7951029273170214</v>
      </c>
      <c r="I807" s="12">
        <f t="shared" si="50"/>
        <v>89.844018038481934</v>
      </c>
      <c r="J807">
        <f t="shared" si="51"/>
        <v>40310</v>
      </c>
      <c r="M807" s="5" t="s">
        <v>113</v>
      </c>
      <c r="N807" s="7">
        <v>681616</v>
      </c>
    </row>
    <row r="808" spans="1:14" x14ac:dyDescent="0.3">
      <c r="A808" s="5" t="s">
        <v>113</v>
      </c>
      <c r="B808" s="6" t="s">
        <v>10</v>
      </c>
      <c r="C808" s="6">
        <v>9272731</v>
      </c>
      <c r="D808" s="6">
        <v>276815</v>
      </c>
      <c r="E808" s="6">
        <v>8337402</v>
      </c>
      <c r="F808" s="6"/>
      <c r="G808" s="7">
        <f t="shared" si="48"/>
        <v>658514</v>
      </c>
      <c r="H808" s="12">
        <f t="shared" si="49"/>
        <v>2.9852586039646787</v>
      </c>
      <c r="I808" s="12">
        <f t="shared" si="50"/>
        <v>89.913122681980099</v>
      </c>
      <c r="J808">
        <f t="shared" si="51"/>
        <v>12750</v>
      </c>
      <c r="M808" s="5" t="s">
        <v>113</v>
      </c>
      <c r="N808" s="7">
        <v>658514</v>
      </c>
    </row>
    <row r="809" spans="1:14" x14ac:dyDescent="0.3">
      <c r="A809" s="5" t="s">
        <v>113</v>
      </c>
      <c r="B809" s="6" t="s">
        <v>10</v>
      </c>
      <c r="C809" s="6">
        <v>9282033</v>
      </c>
      <c r="D809" s="6">
        <v>236222</v>
      </c>
      <c r="E809" s="6">
        <v>7070239</v>
      </c>
      <c r="F809" s="6"/>
      <c r="G809" s="7">
        <f t="shared" si="48"/>
        <v>1975572</v>
      </c>
      <c r="H809" s="12">
        <f t="shared" si="49"/>
        <v>2.5449381617152191</v>
      </c>
      <c r="I809" s="12">
        <f t="shared" si="50"/>
        <v>76.17123317704214</v>
      </c>
      <c r="J809">
        <f t="shared" si="51"/>
        <v>9302</v>
      </c>
      <c r="M809" s="5" t="s">
        <v>113</v>
      </c>
      <c r="N809" s="7">
        <v>1975572</v>
      </c>
    </row>
    <row r="810" spans="1:14" x14ac:dyDescent="0.3">
      <c r="A810" s="5" t="s">
        <v>114</v>
      </c>
      <c r="B810" s="6" t="s">
        <v>10</v>
      </c>
      <c r="C810" s="6">
        <v>9327038</v>
      </c>
      <c r="D810" s="6">
        <v>115874</v>
      </c>
      <c r="E810" s="6">
        <v>7523538</v>
      </c>
      <c r="F810" s="6"/>
      <c r="G810" s="7">
        <f t="shared" si="48"/>
        <v>1687626</v>
      </c>
      <c r="H810" s="12">
        <f t="shared" si="49"/>
        <v>1.2423451046302159</v>
      </c>
      <c r="I810" s="12">
        <f t="shared" si="50"/>
        <v>80.663743409215229</v>
      </c>
      <c r="J810">
        <f t="shared" si="51"/>
        <v>45005</v>
      </c>
      <c r="M810" s="5" t="s">
        <v>114</v>
      </c>
      <c r="N810" s="7">
        <v>1687626</v>
      </c>
    </row>
    <row r="811" spans="1:14" x14ac:dyDescent="0.3">
      <c r="A811" s="5" t="s">
        <v>114</v>
      </c>
      <c r="B811" s="6" t="s">
        <v>10</v>
      </c>
      <c r="C811" s="6">
        <v>9339332</v>
      </c>
      <c r="D811" s="6">
        <v>271608</v>
      </c>
      <c r="E811" s="6">
        <v>7927857</v>
      </c>
      <c r="F811" s="6"/>
      <c r="G811" s="7">
        <f t="shared" si="48"/>
        <v>1139867</v>
      </c>
      <c r="H811" s="12">
        <f t="shared" si="49"/>
        <v>2.9082165619553946</v>
      </c>
      <c r="I811" s="12">
        <f t="shared" si="50"/>
        <v>84.886767062141061</v>
      </c>
      <c r="J811">
        <f t="shared" si="51"/>
        <v>12294</v>
      </c>
      <c r="M811" s="5" t="s">
        <v>114</v>
      </c>
      <c r="N811" s="7">
        <v>1139867</v>
      </c>
    </row>
    <row r="812" spans="1:14" x14ac:dyDescent="0.3">
      <c r="A812" s="5" t="s">
        <v>114</v>
      </c>
      <c r="B812" s="6" t="s">
        <v>10</v>
      </c>
      <c r="C812" s="6">
        <v>9384679</v>
      </c>
      <c r="D812" s="6">
        <v>143213</v>
      </c>
      <c r="E812" s="6">
        <v>6677771</v>
      </c>
      <c r="F812" s="6"/>
      <c r="G812" s="7">
        <f t="shared" si="48"/>
        <v>2563695</v>
      </c>
      <c r="H812" s="12">
        <f t="shared" si="49"/>
        <v>1.5260298194536008</v>
      </c>
      <c r="I812" s="12">
        <f t="shared" si="50"/>
        <v>71.156093884511122</v>
      </c>
      <c r="J812">
        <f t="shared" si="51"/>
        <v>45347</v>
      </c>
      <c r="M812" s="5" t="s">
        <v>114</v>
      </c>
      <c r="N812" s="7">
        <v>2563695</v>
      </c>
    </row>
    <row r="813" spans="1:14" x14ac:dyDescent="0.3">
      <c r="A813" s="5" t="s">
        <v>114</v>
      </c>
      <c r="B813" s="6" t="s">
        <v>10</v>
      </c>
      <c r="C813" s="6">
        <v>9418253</v>
      </c>
      <c r="D813" s="6">
        <v>128281</v>
      </c>
      <c r="E813" s="6">
        <v>7183734</v>
      </c>
      <c r="F813" s="6"/>
      <c r="G813" s="7">
        <f t="shared" si="48"/>
        <v>2106238</v>
      </c>
      <c r="H813" s="12">
        <f t="shared" si="49"/>
        <v>1.362046655574022</v>
      </c>
      <c r="I813" s="12">
        <f t="shared" si="50"/>
        <v>76.274591476784494</v>
      </c>
      <c r="J813">
        <f t="shared" si="51"/>
        <v>33574</v>
      </c>
      <c r="M813" s="5" t="s">
        <v>114</v>
      </c>
      <c r="N813" s="7">
        <v>2106238</v>
      </c>
    </row>
    <row r="814" spans="1:14" x14ac:dyDescent="0.3">
      <c r="A814" s="5" t="s">
        <v>114</v>
      </c>
      <c r="B814" s="6" t="s">
        <v>10</v>
      </c>
      <c r="C814" s="6">
        <v>9429743</v>
      </c>
      <c r="D814" s="6">
        <v>269572</v>
      </c>
      <c r="E814" s="6">
        <v>8198590</v>
      </c>
      <c r="F814" s="6"/>
      <c r="G814" s="7">
        <f t="shared" si="48"/>
        <v>961581</v>
      </c>
      <c r="H814" s="12">
        <f t="shared" si="49"/>
        <v>2.8587417493774749</v>
      </c>
      <c r="I814" s="12">
        <f t="shared" si="50"/>
        <v>86.943938981157814</v>
      </c>
      <c r="J814">
        <f t="shared" si="51"/>
        <v>11490</v>
      </c>
      <c r="M814" s="5" t="s">
        <v>114</v>
      </c>
      <c r="N814" s="7">
        <v>961581</v>
      </c>
    </row>
    <row r="815" spans="1:14" x14ac:dyDescent="0.3">
      <c r="A815" s="5" t="s">
        <v>114</v>
      </c>
      <c r="B815" s="6" t="s">
        <v>10</v>
      </c>
      <c r="C815" s="6">
        <v>9463194</v>
      </c>
      <c r="D815" s="6">
        <v>162546</v>
      </c>
      <c r="E815" s="6">
        <v>6654052</v>
      </c>
      <c r="F815" s="6"/>
      <c r="G815" s="7">
        <f t="shared" si="48"/>
        <v>2646596</v>
      </c>
      <c r="H815" s="12">
        <f t="shared" si="49"/>
        <v>1.7176653041245906</v>
      </c>
      <c r="I815" s="12">
        <f t="shared" si="50"/>
        <v>70.315075438588707</v>
      </c>
      <c r="J815">
        <f t="shared" si="51"/>
        <v>33451</v>
      </c>
      <c r="M815" s="5" t="s">
        <v>114</v>
      </c>
      <c r="N815" s="7">
        <v>2646596</v>
      </c>
    </row>
    <row r="816" spans="1:14" x14ac:dyDescent="0.3">
      <c r="A816" s="5" t="s">
        <v>114</v>
      </c>
      <c r="B816" s="6" t="s">
        <v>10</v>
      </c>
      <c r="C816" s="6">
        <v>9470984</v>
      </c>
      <c r="D816" s="6">
        <v>147197</v>
      </c>
      <c r="E816" s="6">
        <v>7526066</v>
      </c>
      <c r="F816" s="6"/>
      <c r="G816" s="7">
        <f t="shared" si="48"/>
        <v>1797721</v>
      </c>
      <c r="H816" s="12">
        <f t="shared" si="49"/>
        <v>1.554189089539165</v>
      </c>
      <c r="I816" s="12">
        <f t="shared" si="50"/>
        <v>79.464456913875054</v>
      </c>
      <c r="J816">
        <f t="shared" si="51"/>
        <v>7790</v>
      </c>
      <c r="M816" s="5" t="s">
        <v>114</v>
      </c>
      <c r="N816" s="7">
        <v>1797721</v>
      </c>
    </row>
    <row r="817" spans="1:14" x14ac:dyDescent="0.3">
      <c r="A817" s="5" t="s">
        <v>114</v>
      </c>
      <c r="B817" s="6" t="s">
        <v>10</v>
      </c>
      <c r="C817" s="6">
        <v>9498911</v>
      </c>
      <c r="D817" s="6">
        <v>166605</v>
      </c>
      <c r="E817" s="6">
        <v>7822342</v>
      </c>
      <c r="F817" s="6"/>
      <c r="G817" s="7">
        <f t="shared" si="48"/>
        <v>1509964</v>
      </c>
      <c r="H817" s="12">
        <f t="shared" si="49"/>
        <v>1.7539378987759753</v>
      </c>
      <c r="I817" s="12">
        <f t="shared" si="50"/>
        <v>82.349882002263215</v>
      </c>
      <c r="J817">
        <f t="shared" si="51"/>
        <v>27927</v>
      </c>
      <c r="M817" s="5" t="s">
        <v>114</v>
      </c>
      <c r="N817" s="7">
        <v>1509964</v>
      </c>
    </row>
    <row r="818" spans="1:14" x14ac:dyDescent="0.3">
      <c r="A818" s="5" t="s">
        <v>115</v>
      </c>
      <c r="B818" s="6" t="s">
        <v>10</v>
      </c>
      <c r="C818" s="6">
        <v>9525146</v>
      </c>
      <c r="D818" s="6">
        <v>141210</v>
      </c>
      <c r="E818" s="6">
        <v>8375447</v>
      </c>
      <c r="F818" s="6"/>
      <c r="G818" s="7">
        <f t="shared" si="48"/>
        <v>1008489</v>
      </c>
      <c r="H818" s="12">
        <f t="shared" si="49"/>
        <v>1.4824969612014345</v>
      </c>
      <c r="I818" s="12">
        <f t="shared" si="50"/>
        <v>87.929854303545582</v>
      </c>
      <c r="J818">
        <f t="shared" si="51"/>
        <v>26235</v>
      </c>
      <c r="M818" s="5" t="s">
        <v>115</v>
      </c>
      <c r="N818" s="7">
        <v>1008489</v>
      </c>
    </row>
    <row r="819" spans="1:14" x14ac:dyDescent="0.3">
      <c r="A819" s="5" t="s">
        <v>115</v>
      </c>
      <c r="B819" s="6" t="s">
        <v>10</v>
      </c>
      <c r="C819" s="6">
        <v>9563088</v>
      </c>
      <c r="D819" s="6">
        <v>273317</v>
      </c>
      <c r="E819" s="6">
        <v>8255162</v>
      </c>
      <c r="F819" s="6"/>
      <c r="G819" s="7">
        <f t="shared" si="48"/>
        <v>1034609</v>
      </c>
      <c r="H819" s="12">
        <f t="shared" si="49"/>
        <v>2.8580412519470699</v>
      </c>
      <c r="I819" s="12">
        <f t="shared" si="50"/>
        <v>86.323183473790053</v>
      </c>
      <c r="J819">
        <f t="shared" si="51"/>
        <v>37942</v>
      </c>
      <c r="M819" s="5" t="s">
        <v>115</v>
      </c>
      <c r="N819" s="7">
        <v>1034609</v>
      </c>
    </row>
    <row r="820" spans="1:14" x14ac:dyDescent="0.3">
      <c r="A820" s="5" t="s">
        <v>115</v>
      </c>
      <c r="B820" s="6" t="s">
        <v>10</v>
      </c>
      <c r="C820" s="6">
        <v>9585991</v>
      </c>
      <c r="D820" s="6">
        <v>195325</v>
      </c>
      <c r="E820" s="6">
        <v>8407673</v>
      </c>
      <c r="F820" s="6"/>
      <c r="G820" s="7">
        <f t="shared" si="48"/>
        <v>982993</v>
      </c>
      <c r="H820" s="12">
        <f t="shared" si="49"/>
        <v>2.0376088398163525</v>
      </c>
      <c r="I820" s="12">
        <f t="shared" si="50"/>
        <v>87.707916688008567</v>
      </c>
      <c r="J820">
        <f t="shared" si="51"/>
        <v>22903</v>
      </c>
      <c r="M820" s="5" t="s">
        <v>115</v>
      </c>
      <c r="N820" s="7">
        <v>982993</v>
      </c>
    </row>
    <row r="821" spans="1:14" x14ac:dyDescent="0.3">
      <c r="A821" s="5" t="s">
        <v>115</v>
      </c>
      <c r="B821" s="6" t="s">
        <v>10</v>
      </c>
      <c r="C821" s="6">
        <v>9634225</v>
      </c>
      <c r="D821" s="6">
        <v>156594</v>
      </c>
      <c r="E821" s="6">
        <v>6901873</v>
      </c>
      <c r="F821" s="6"/>
      <c r="G821" s="7">
        <f t="shared" si="48"/>
        <v>2575758</v>
      </c>
      <c r="H821" s="12">
        <f t="shared" si="49"/>
        <v>1.6253928053372224</v>
      </c>
      <c r="I821" s="12">
        <f t="shared" si="50"/>
        <v>71.639109528789291</v>
      </c>
      <c r="J821">
        <f t="shared" si="51"/>
        <v>48234</v>
      </c>
      <c r="M821" s="5" t="s">
        <v>115</v>
      </c>
      <c r="N821" s="7">
        <v>2575758</v>
      </c>
    </row>
    <row r="822" spans="1:14" x14ac:dyDescent="0.3">
      <c r="A822" s="5" t="s">
        <v>115</v>
      </c>
      <c r="B822" s="6" t="s">
        <v>10</v>
      </c>
      <c r="C822" s="6">
        <v>9647897</v>
      </c>
      <c r="D822" s="6">
        <v>231900</v>
      </c>
      <c r="E822" s="6">
        <v>7407453</v>
      </c>
      <c r="F822" s="6"/>
      <c r="G822" s="7">
        <f t="shared" si="48"/>
        <v>2008544</v>
      </c>
      <c r="H822" s="12">
        <f t="shared" si="49"/>
        <v>2.4036326258458187</v>
      </c>
      <c r="I822" s="12">
        <f t="shared" si="50"/>
        <v>76.777902997927939</v>
      </c>
      <c r="J822">
        <f t="shared" si="51"/>
        <v>13672</v>
      </c>
      <c r="M822" s="5" t="s">
        <v>115</v>
      </c>
      <c r="N822" s="7">
        <v>2008544</v>
      </c>
    </row>
    <row r="823" spans="1:14" x14ac:dyDescent="0.3">
      <c r="A823" s="5" t="s">
        <v>115</v>
      </c>
      <c r="B823" s="6" t="s">
        <v>10</v>
      </c>
      <c r="C823" s="6">
        <v>9654161</v>
      </c>
      <c r="D823" s="6">
        <v>216951</v>
      </c>
      <c r="E823" s="6">
        <v>8620234</v>
      </c>
      <c r="F823" s="6"/>
      <c r="G823" s="7">
        <f t="shared" si="48"/>
        <v>816976</v>
      </c>
      <c r="H823" s="12">
        <f t="shared" si="49"/>
        <v>2.2472279051488782</v>
      </c>
      <c r="I823" s="12">
        <f t="shared" si="50"/>
        <v>89.290348482897684</v>
      </c>
      <c r="J823">
        <f t="shared" si="51"/>
        <v>6264</v>
      </c>
      <c r="M823" s="5" t="s">
        <v>115</v>
      </c>
      <c r="N823" s="7">
        <v>816976</v>
      </c>
    </row>
    <row r="824" spans="1:14" x14ac:dyDescent="0.3">
      <c r="A824" s="5" t="s">
        <v>115</v>
      </c>
      <c r="B824" s="6" t="s">
        <v>10</v>
      </c>
      <c r="C824" s="6">
        <v>9704005</v>
      </c>
      <c r="D824" s="6">
        <v>262629</v>
      </c>
      <c r="E824" s="6">
        <v>8390282</v>
      </c>
      <c r="F824" s="6"/>
      <c r="G824" s="7">
        <f t="shared" si="48"/>
        <v>1051094</v>
      </c>
      <c r="H824" s="12">
        <f t="shared" si="49"/>
        <v>2.7063980284428952</v>
      </c>
      <c r="I824" s="12">
        <f t="shared" si="50"/>
        <v>86.462053554176848</v>
      </c>
      <c r="J824">
        <f t="shared" si="51"/>
        <v>49844</v>
      </c>
      <c r="M824" s="5" t="s">
        <v>115</v>
      </c>
      <c r="N824" s="7">
        <v>1051094</v>
      </c>
    </row>
    <row r="825" spans="1:14" x14ac:dyDescent="0.3">
      <c r="A825" s="5" t="s">
        <v>115</v>
      </c>
      <c r="B825" s="6" t="s">
        <v>10</v>
      </c>
      <c r="C825" s="6">
        <v>9750183</v>
      </c>
      <c r="D825" s="6">
        <v>276042</v>
      </c>
      <c r="E825" s="6">
        <v>7299335</v>
      </c>
      <c r="F825" s="6"/>
      <c r="G825" s="7">
        <f t="shared" si="48"/>
        <v>2174806</v>
      </c>
      <c r="H825" s="12">
        <f t="shared" si="49"/>
        <v>2.8311468615512139</v>
      </c>
      <c r="I825" s="12">
        <f t="shared" si="50"/>
        <v>74.863569227367321</v>
      </c>
      <c r="J825">
        <f t="shared" si="51"/>
        <v>46178</v>
      </c>
      <c r="M825" s="5" t="s">
        <v>115</v>
      </c>
      <c r="N825" s="7">
        <v>2174806</v>
      </c>
    </row>
    <row r="826" spans="1:14" x14ac:dyDescent="0.3">
      <c r="A826" s="5" t="s">
        <v>116</v>
      </c>
      <c r="B826" s="6" t="s">
        <v>10</v>
      </c>
      <c r="C826" s="6">
        <v>9762835</v>
      </c>
      <c r="D826" s="6">
        <v>176711</v>
      </c>
      <c r="E826" s="6">
        <v>7590294</v>
      </c>
      <c r="F826" s="6"/>
      <c r="G826" s="7">
        <f t="shared" si="48"/>
        <v>1995830</v>
      </c>
      <c r="H826" s="12">
        <f t="shared" si="49"/>
        <v>1.8100377605480376</v>
      </c>
      <c r="I826" s="12">
        <f t="shared" si="50"/>
        <v>77.746822516205597</v>
      </c>
      <c r="J826">
        <f t="shared" si="51"/>
        <v>12652</v>
      </c>
      <c r="M826" s="5" t="s">
        <v>116</v>
      </c>
      <c r="N826" s="7">
        <v>1995830</v>
      </c>
    </row>
    <row r="827" spans="1:14" x14ac:dyDescent="0.3">
      <c r="A827" s="5" t="s">
        <v>116</v>
      </c>
      <c r="B827" s="6" t="s">
        <v>10</v>
      </c>
      <c r="C827" s="6">
        <v>9795942</v>
      </c>
      <c r="D827" s="6">
        <v>196374</v>
      </c>
      <c r="E827" s="6">
        <v>8187704</v>
      </c>
      <c r="F827" s="6"/>
      <c r="G827" s="7">
        <f t="shared" si="48"/>
        <v>1411864</v>
      </c>
      <c r="H827" s="12">
        <f t="shared" si="49"/>
        <v>2.0046464137905269</v>
      </c>
      <c r="I827" s="12">
        <f t="shared" si="50"/>
        <v>83.582610023619992</v>
      </c>
      <c r="J827">
        <f t="shared" si="51"/>
        <v>33107</v>
      </c>
      <c r="M827" s="5" t="s">
        <v>116</v>
      </c>
      <c r="N827" s="7">
        <v>1411864</v>
      </c>
    </row>
    <row r="828" spans="1:14" x14ac:dyDescent="0.3">
      <c r="A828" s="5" t="s">
        <v>116</v>
      </c>
      <c r="B828" s="6" t="s">
        <v>10</v>
      </c>
      <c r="C828" s="6">
        <v>9806267</v>
      </c>
      <c r="D828" s="6">
        <v>257293</v>
      </c>
      <c r="E828" s="6">
        <v>6957819</v>
      </c>
      <c r="F828" s="6"/>
      <c r="G828" s="7">
        <f t="shared" si="48"/>
        <v>2591155</v>
      </c>
      <c r="H828" s="12">
        <f t="shared" si="49"/>
        <v>2.6237609071831312</v>
      </c>
      <c r="I828" s="12">
        <f t="shared" si="50"/>
        <v>70.952779482753229</v>
      </c>
      <c r="J828">
        <f t="shared" si="51"/>
        <v>10325</v>
      </c>
      <c r="M828" s="5" t="s">
        <v>116</v>
      </c>
      <c r="N828" s="7">
        <v>2591155</v>
      </c>
    </row>
    <row r="829" spans="1:14" x14ac:dyDescent="0.3">
      <c r="A829" s="5" t="s">
        <v>116</v>
      </c>
      <c r="B829" s="6" t="s">
        <v>10</v>
      </c>
      <c r="C829" s="6">
        <v>9836554</v>
      </c>
      <c r="D829" s="6">
        <v>203742</v>
      </c>
      <c r="E829" s="6">
        <v>7884726</v>
      </c>
      <c r="F829" s="6"/>
      <c r="G829" s="7">
        <f t="shared" si="48"/>
        <v>1748086</v>
      </c>
      <c r="H829" s="12">
        <f t="shared" si="49"/>
        <v>2.0712741474300858</v>
      </c>
      <c r="I829" s="12">
        <f t="shared" si="50"/>
        <v>80.157400650675029</v>
      </c>
      <c r="J829">
        <f t="shared" si="51"/>
        <v>30287</v>
      </c>
      <c r="M829" s="5" t="s">
        <v>116</v>
      </c>
      <c r="N829" s="7">
        <v>1748086</v>
      </c>
    </row>
    <row r="830" spans="1:14" x14ac:dyDescent="0.3">
      <c r="A830" s="5" t="s">
        <v>116</v>
      </c>
      <c r="B830" s="6" t="s">
        <v>10</v>
      </c>
      <c r="C830" s="6">
        <v>9882458</v>
      </c>
      <c r="D830" s="6">
        <v>101257</v>
      </c>
      <c r="E830" s="6">
        <v>8545200</v>
      </c>
      <c r="F830" s="6"/>
      <c r="G830" s="7">
        <f t="shared" si="48"/>
        <v>1236001</v>
      </c>
      <c r="H830" s="12">
        <f t="shared" si="49"/>
        <v>1.0246135121444482</v>
      </c>
      <c r="I830" s="12">
        <f t="shared" si="50"/>
        <v>86.468366473199282</v>
      </c>
      <c r="J830">
        <f t="shared" si="51"/>
        <v>45904</v>
      </c>
      <c r="M830" s="5" t="s">
        <v>116</v>
      </c>
      <c r="N830" s="7">
        <v>1236001</v>
      </c>
    </row>
    <row r="831" spans="1:14" x14ac:dyDescent="0.3">
      <c r="A831" s="5" t="s">
        <v>116</v>
      </c>
      <c r="B831" s="6" t="s">
        <v>10</v>
      </c>
      <c r="C831" s="6">
        <v>9921307</v>
      </c>
      <c r="D831" s="6">
        <v>178084</v>
      </c>
      <c r="E831" s="6">
        <v>8809696</v>
      </c>
      <c r="F831" s="6"/>
      <c r="G831" s="7">
        <f t="shared" si="48"/>
        <v>933527</v>
      </c>
      <c r="H831" s="12">
        <f t="shared" si="49"/>
        <v>1.7949651190110334</v>
      </c>
      <c r="I831" s="12">
        <f t="shared" si="50"/>
        <v>88.795720160660281</v>
      </c>
      <c r="J831">
        <f t="shared" si="51"/>
        <v>38849</v>
      </c>
      <c r="M831" s="5" t="s">
        <v>116</v>
      </c>
      <c r="N831" s="7">
        <v>933527</v>
      </c>
    </row>
    <row r="832" spans="1:14" x14ac:dyDescent="0.3">
      <c r="A832" s="5" t="s">
        <v>116</v>
      </c>
      <c r="B832" s="6" t="s">
        <v>10</v>
      </c>
      <c r="C832" s="6">
        <v>9966338</v>
      </c>
      <c r="D832" s="6">
        <v>290315</v>
      </c>
      <c r="E832" s="6">
        <v>8629524</v>
      </c>
      <c r="F832" s="6"/>
      <c r="G832" s="7">
        <f t="shared" si="48"/>
        <v>1046499</v>
      </c>
      <c r="H832" s="12">
        <f t="shared" si="49"/>
        <v>2.9129555911107974</v>
      </c>
      <c r="I832" s="12">
        <f t="shared" si="50"/>
        <v>86.586708177065645</v>
      </c>
      <c r="J832">
        <f t="shared" si="51"/>
        <v>45031</v>
      </c>
      <c r="M832" s="5" t="s">
        <v>116</v>
      </c>
      <c r="N832" s="7">
        <v>1046499</v>
      </c>
    </row>
    <row r="833" spans="1:14" x14ac:dyDescent="0.3">
      <c r="A833" s="5" t="s">
        <v>116</v>
      </c>
      <c r="B833" s="6" t="s">
        <v>10</v>
      </c>
      <c r="C833" s="6">
        <v>10005783</v>
      </c>
      <c r="D833" s="6">
        <v>128961</v>
      </c>
      <c r="E833" s="6">
        <v>8844021</v>
      </c>
      <c r="F833" s="6"/>
      <c r="G833" s="7">
        <f t="shared" si="48"/>
        <v>1032801</v>
      </c>
      <c r="H833" s="12">
        <f t="shared" si="49"/>
        <v>1.2888646495731519</v>
      </c>
      <c r="I833" s="12">
        <f t="shared" si="50"/>
        <v>88.389094586600564</v>
      </c>
      <c r="J833">
        <f t="shared" si="51"/>
        <v>39445</v>
      </c>
      <c r="M833" s="5" t="s">
        <v>116</v>
      </c>
      <c r="N833" s="7">
        <v>1032801</v>
      </c>
    </row>
    <row r="834" spans="1:14" x14ac:dyDescent="0.3">
      <c r="A834" s="5" t="s">
        <v>117</v>
      </c>
      <c r="B834" s="6" t="s">
        <v>10</v>
      </c>
      <c r="C834" s="6">
        <v>10021847</v>
      </c>
      <c r="D834" s="6">
        <v>126587</v>
      </c>
      <c r="E834" s="6">
        <v>7973437</v>
      </c>
      <c r="F834" s="6"/>
      <c r="G834" s="7">
        <f t="shared" si="48"/>
        <v>1921823</v>
      </c>
      <c r="H834" s="12">
        <f t="shared" si="49"/>
        <v>1.2631104825288193</v>
      </c>
      <c r="I834" s="12">
        <f t="shared" si="50"/>
        <v>79.560554057550476</v>
      </c>
      <c r="J834">
        <f t="shared" si="51"/>
        <v>16064</v>
      </c>
      <c r="M834" s="5" t="s">
        <v>117</v>
      </c>
      <c r="N834" s="7">
        <v>1921823</v>
      </c>
    </row>
    <row r="835" spans="1:14" x14ac:dyDescent="0.3">
      <c r="A835" s="5" t="s">
        <v>117</v>
      </c>
      <c r="B835" s="6" t="s">
        <v>10</v>
      </c>
      <c r="C835" s="6">
        <v>10058866</v>
      </c>
      <c r="D835" s="6">
        <v>207017</v>
      </c>
      <c r="E835" s="6">
        <v>7868209</v>
      </c>
      <c r="F835" s="6"/>
      <c r="G835" s="7">
        <f t="shared" ref="G835:G898" si="52" xml:space="preserve"> C835-D835-E835</f>
        <v>1983640</v>
      </c>
      <c r="H835" s="12">
        <f t="shared" ref="H835:H898" si="53">D835/C835*100</f>
        <v>2.0580550531242787</v>
      </c>
      <c r="I835" s="12">
        <f t="shared" ref="I835:I898" si="54">E835/C835*100</f>
        <v>78.221630549606687</v>
      </c>
      <c r="J835">
        <f t="shared" ref="J835:J898" si="55">IF(B835=B834,C835-C834,"")</f>
        <v>37019</v>
      </c>
      <c r="M835" s="5" t="s">
        <v>117</v>
      </c>
      <c r="N835" s="7">
        <v>1983640</v>
      </c>
    </row>
    <row r="836" spans="1:14" x14ac:dyDescent="0.3">
      <c r="A836" s="5" t="s">
        <v>117</v>
      </c>
      <c r="B836" s="6" t="s">
        <v>10</v>
      </c>
      <c r="C836" s="6">
        <v>10079314</v>
      </c>
      <c r="D836" s="6">
        <v>119831</v>
      </c>
      <c r="E836" s="6">
        <v>7744869</v>
      </c>
      <c r="F836" s="6"/>
      <c r="G836" s="7">
        <f t="shared" si="52"/>
        <v>2214614</v>
      </c>
      <c r="H836" s="12">
        <f t="shared" si="53"/>
        <v>1.1888805130984113</v>
      </c>
      <c r="I836" s="12">
        <f t="shared" si="54"/>
        <v>76.839247194799171</v>
      </c>
      <c r="J836">
        <f t="shared" si="55"/>
        <v>20448</v>
      </c>
      <c r="M836" s="5" t="s">
        <v>117</v>
      </c>
      <c r="N836" s="7">
        <v>2214614</v>
      </c>
    </row>
    <row r="837" spans="1:14" x14ac:dyDescent="0.3">
      <c r="A837" s="5" t="s">
        <v>117</v>
      </c>
      <c r="B837" s="6" t="s">
        <v>10</v>
      </c>
      <c r="C837" s="6">
        <v>10123883</v>
      </c>
      <c r="D837" s="6">
        <v>157959</v>
      </c>
      <c r="E837" s="6">
        <v>9101205</v>
      </c>
      <c r="F837" s="6"/>
      <c r="G837" s="7">
        <f t="shared" si="52"/>
        <v>864719</v>
      </c>
      <c r="H837" s="12">
        <f t="shared" si="53"/>
        <v>1.5602610184254402</v>
      </c>
      <c r="I837" s="12">
        <f t="shared" si="54"/>
        <v>89.898362120542089</v>
      </c>
      <c r="J837">
        <f t="shared" si="55"/>
        <v>44569</v>
      </c>
      <c r="M837" s="5" t="s">
        <v>117</v>
      </c>
      <c r="N837" s="7">
        <v>864719</v>
      </c>
    </row>
    <row r="838" spans="1:14" x14ac:dyDescent="0.3">
      <c r="A838" s="5" t="s">
        <v>117</v>
      </c>
      <c r="B838" s="6" t="s">
        <v>10</v>
      </c>
      <c r="C838" s="6">
        <v>10171763</v>
      </c>
      <c r="D838" s="6">
        <v>181346</v>
      </c>
      <c r="E838" s="6">
        <v>7183445</v>
      </c>
      <c r="F838" s="6"/>
      <c r="G838" s="7">
        <f t="shared" si="52"/>
        <v>2806972</v>
      </c>
      <c r="H838" s="12">
        <f t="shared" si="53"/>
        <v>1.7828374491226349</v>
      </c>
      <c r="I838" s="12">
        <f t="shared" si="54"/>
        <v>70.621435045232573</v>
      </c>
      <c r="J838">
        <f t="shared" si="55"/>
        <v>47880</v>
      </c>
      <c r="M838" s="5" t="s">
        <v>117</v>
      </c>
      <c r="N838" s="7">
        <v>2806972</v>
      </c>
    </row>
    <row r="839" spans="1:14" x14ac:dyDescent="0.3">
      <c r="A839" s="5" t="s">
        <v>117</v>
      </c>
      <c r="B839" s="6" t="s">
        <v>10</v>
      </c>
      <c r="C839" s="6">
        <v>10212198</v>
      </c>
      <c r="D839" s="6">
        <v>287284</v>
      </c>
      <c r="E839" s="6">
        <v>7568636</v>
      </c>
      <c r="F839" s="6"/>
      <c r="G839" s="7">
        <f t="shared" si="52"/>
        <v>2356278</v>
      </c>
      <c r="H839" s="12">
        <f t="shared" si="53"/>
        <v>2.8131456127270544</v>
      </c>
      <c r="I839" s="12">
        <f t="shared" si="54"/>
        <v>74.113682480500273</v>
      </c>
      <c r="J839">
        <f t="shared" si="55"/>
        <v>40435</v>
      </c>
      <c r="M839" s="5" t="s">
        <v>117</v>
      </c>
      <c r="N839" s="7">
        <v>2356278</v>
      </c>
    </row>
    <row r="840" spans="1:14" x14ac:dyDescent="0.3">
      <c r="A840" s="5" t="s">
        <v>117</v>
      </c>
      <c r="B840" s="6" t="s">
        <v>10</v>
      </c>
      <c r="C840" s="6">
        <v>10215007</v>
      </c>
      <c r="D840" s="6">
        <v>245884</v>
      </c>
      <c r="E840" s="6">
        <v>8192201</v>
      </c>
      <c r="F840" s="6"/>
      <c r="G840" s="7">
        <f t="shared" si="52"/>
        <v>1776922</v>
      </c>
      <c r="H840" s="12">
        <f t="shared" si="53"/>
        <v>2.4070859667545994</v>
      </c>
      <c r="I840" s="12">
        <f t="shared" si="54"/>
        <v>80.197703241906737</v>
      </c>
      <c r="J840">
        <f t="shared" si="55"/>
        <v>2809</v>
      </c>
      <c r="M840" s="5" t="s">
        <v>117</v>
      </c>
      <c r="N840" s="7">
        <v>1776922</v>
      </c>
    </row>
    <row r="841" spans="1:14" x14ac:dyDescent="0.3">
      <c r="A841" s="5" t="s">
        <v>117</v>
      </c>
      <c r="B841" s="6" t="s">
        <v>10</v>
      </c>
      <c r="C841" s="6">
        <v>10239746</v>
      </c>
      <c r="D841" s="6">
        <v>251315</v>
      </c>
      <c r="E841" s="6">
        <v>7421749</v>
      </c>
      <c r="F841" s="6"/>
      <c r="G841" s="7">
        <f t="shared" si="52"/>
        <v>2566682</v>
      </c>
      <c r="H841" s="12">
        <f t="shared" si="53"/>
        <v>2.4543089252409191</v>
      </c>
      <c r="I841" s="12">
        <f t="shared" si="54"/>
        <v>72.479815417296493</v>
      </c>
      <c r="J841">
        <f t="shared" si="55"/>
        <v>24739</v>
      </c>
      <c r="M841" s="5" t="s">
        <v>117</v>
      </c>
      <c r="N841" s="7">
        <v>2566682</v>
      </c>
    </row>
    <row r="842" spans="1:14" x14ac:dyDescent="0.3">
      <c r="A842" s="5" t="s">
        <v>118</v>
      </c>
      <c r="B842" s="6" t="s">
        <v>10</v>
      </c>
      <c r="C842" s="6">
        <v>10278802</v>
      </c>
      <c r="D842" s="6">
        <v>103024</v>
      </c>
      <c r="E842" s="6">
        <v>8935806</v>
      </c>
      <c r="F842" s="6"/>
      <c r="G842" s="7">
        <f t="shared" si="52"/>
        <v>1239972</v>
      </c>
      <c r="H842" s="12">
        <f t="shared" si="53"/>
        <v>1.0022957928365581</v>
      </c>
      <c r="I842" s="12">
        <f t="shared" si="54"/>
        <v>86.934313940476727</v>
      </c>
      <c r="J842">
        <f t="shared" si="55"/>
        <v>39056</v>
      </c>
      <c r="M842" s="5" t="s">
        <v>118</v>
      </c>
      <c r="N842" s="7">
        <v>1239972</v>
      </c>
    </row>
    <row r="843" spans="1:14" x14ac:dyDescent="0.3">
      <c r="A843" s="5" t="s">
        <v>118</v>
      </c>
      <c r="B843" s="6" t="s">
        <v>10</v>
      </c>
      <c r="C843" s="6">
        <v>10288470</v>
      </c>
      <c r="D843" s="6">
        <v>202435</v>
      </c>
      <c r="E843" s="6">
        <v>8825249</v>
      </c>
      <c r="F843" s="6"/>
      <c r="G843" s="7">
        <f t="shared" si="52"/>
        <v>1260786</v>
      </c>
      <c r="H843" s="12">
        <f t="shared" si="53"/>
        <v>1.9675909051588818</v>
      </c>
      <c r="I843" s="12">
        <f t="shared" si="54"/>
        <v>85.778050575061201</v>
      </c>
      <c r="J843">
        <f t="shared" si="55"/>
        <v>9668</v>
      </c>
      <c r="M843" s="5" t="s">
        <v>118</v>
      </c>
      <c r="N843" s="7">
        <v>1260786</v>
      </c>
    </row>
    <row r="844" spans="1:14" x14ac:dyDescent="0.3">
      <c r="A844" s="5" t="s">
        <v>118</v>
      </c>
      <c r="B844" s="6" t="s">
        <v>10</v>
      </c>
      <c r="C844" s="6">
        <v>10296235</v>
      </c>
      <c r="D844" s="6">
        <v>132405</v>
      </c>
      <c r="E844" s="6">
        <v>8557753</v>
      </c>
      <c r="F844" s="6"/>
      <c r="G844" s="7">
        <f t="shared" si="52"/>
        <v>1606077</v>
      </c>
      <c r="H844" s="12">
        <f t="shared" si="53"/>
        <v>1.2859554973249931</v>
      </c>
      <c r="I844" s="12">
        <f t="shared" si="54"/>
        <v>83.115362071669878</v>
      </c>
      <c r="J844">
        <f t="shared" si="55"/>
        <v>7765</v>
      </c>
      <c r="M844" s="5" t="s">
        <v>118</v>
      </c>
      <c r="N844" s="7">
        <v>1606077</v>
      </c>
    </row>
    <row r="845" spans="1:14" x14ac:dyDescent="0.3">
      <c r="A845" s="5" t="s">
        <v>118</v>
      </c>
      <c r="B845" s="6" t="s">
        <v>10</v>
      </c>
      <c r="C845" s="6">
        <v>10333152</v>
      </c>
      <c r="D845" s="6">
        <v>218831</v>
      </c>
      <c r="E845" s="6">
        <v>9225457</v>
      </c>
      <c r="F845" s="6"/>
      <c r="G845" s="7">
        <f t="shared" si="52"/>
        <v>888864</v>
      </c>
      <c r="H845" s="12">
        <f t="shared" si="53"/>
        <v>2.1177565180498648</v>
      </c>
      <c r="I845" s="12">
        <f t="shared" si="54"/>
        <v>89.280182852241012</v>
      </c>
      <c r="J845">
        <f t="shared" si="55"/>
        <v>36917</v>
      </c>
      <c r="M845" s="5" t="s">
        <v>118</v>
      </c>
      <c r="N845" s="7">
        <v>888864</v>
      </c>
    </row>
    <row r="846" spans="1:14" x14ac:dyDescent="0.3">
      <c r="A846" s="5" t="s">
        <v>118</v>
      </c>
      <c r="B846" s="6" t="s">
        <v>10</v>
      </c>
      <c r="C846" s="6">
        <v>10334287</v>
      </c>
      <c r="D846" s="6">
        <v>124556</v>
      </c>
      <c r="E846" s="6">
        <v>8379051</v>
      </c>
      <c r="F846" s="6"/>
      <c r="G846" s="7">
        <f t="shared" si="52"/>
        <v>1830680</v>
      </c>
      <c r="H846" s="12">
        <f t="shared" si="53"/>
        <v>1.2052694104586026</v>
      </c>
      <c r="I846" s="12">
        <f t="shared" si="54"/>
        <v>81.080107413312589</v>
      </c>
      <c r="J846">
        <f t="shared" si="55"/>
        <v>1135</v>
      </c>
      <c r="M846" s="5" t="s">
        <v>118</v>
      </c>
      <c r="N846" s="7">
        <v>1830680</v>
      </c>
    </row>
    <row r="847" spans="1:14" x14ac:dyDescent="0.3">
      <c r="A847" s="5" t="s">
        <v>118</v>
      </c>
      <c r="B847" s="6" t="s">
        <v>10</v>
      </c>
      <c r="C847" s="6">
        <v>10335350</v>
      </c>
      <c r="D847" s="6">
        <v>283681</v>
      </c>
      <c r="E847" s="6">
        <v>7958995</v>
      </c>
      <c r="F847" s="6"/>
      <c r="G847" s="7">
        <f t="shared" si="52"/>
        <v>2092674</v>
      </c>
      <c r="H847" s="12">
        <f t="shared" si="53"/>
        <v>2.7447643282520673</v>
      </c>
      <c r="I847" s="12">
        <f t="shared" si="54"/>
        <v>77.007503374341454</v>
      </c>
      <c r="J847">
        <f t="shared" si="55"/>
        <v>1063</v>
      </c>
      <c r="M847" s="5" t="s">
        <v>118</v>
      </c>
      <c r="N847" s="7">
        <v>2092674</v>
      </c>
    </row>
    <row r="848" spans="1:14" x14ac:dyDescent="0.3">
      <c r="A848" s="5" t="s">
        <v>118</v>
      </c>
      <c r="B848" s="6" t="s">
        <v>10</v>
      </c>
      <c r="C848" s="6">
        <v>10338827</v>
      </c>
      <c r="D848" s="6">
        <v>204800</v>
      </c>
      <c r="E848" s="6">
        <v>9084642</v>
      </c>
      <c r="F848" s="6"/>
      <c r="G848" s="7">
        <f t="shared" si="52"/>
        <v>1049385</v>
      </c>
      <c r="H848" s="12">
        <f t="shared" si="53"/>
        <v>1.9808823573505969</v>
      </c>
      <c r="I848" s="12">
        <f t="shared" si="54"/>
        <v>87.869175100811731</v>
      </c>
      <c r="J848">
        <f t="shared" si="55"/>
        <v>3477</v>
      </c>
      <c r="M848" s="5" t="s">
        <v>118</v>
      </c>
      <c r="N848" s="7">
        <v>1049385</v>
      </c>
    </row>
    <row r="849" spans="1:14" x14ac:dyDescent="0.3">
      <c r="A849" s="5" t="s">
        <v>118</v>
      </c>
      <c r="B849" s="6" t="s">
        <v>10</v>
      </c>
      <c r="C849" s="6">
        <v>10370750</v>
      </c>
      <c r="D849" s="6">
        <v>230796</v>
      </c>
      <c r="E849" s="6">
        <v>9113442</v>
      </c>
      <c r="F849" s="6"/>
      <c r="G849" s="7">
        <f t="shared" si="52"/>
        <v>1026512</v>
      </c>
      <c r="H849" s="12">
        <f t="shared" si="53"/>
        <v>2.2254513897259116</v>
      </c>
      <c r="I849" s="12">
        <f t="shared" si="54"/>
        <v>87.876402381698526</v>
      </c>
      <c r="J849">
        <f t="shared" si="55"/>
        <v>31923</v>
      </c>
      <c r="M849" s="5" t="s">
        <v>118</v>
      </c>
      <c r="N849" s="7">
        <v>1026512</v>
      </c>
    </row>
    <row r="850" spans="1:14" x14ac:dyDescent="0.3">
      <c r="A850" s="5" t="s">
        <v>119</v>
      </c>
      <c r="B850" s="6" t="s">
        <v>10</v>
      </c>
      <c r="C850" s="6">
        <v>10372291</v>
      </c>
      <c r="D850" s="6">
        <v>108095</v>
      </c>
      <c r="E850" s="6">
        <v>9091137</v>
      </c>
      <c r="F850" s="6"/>
      <c r="G850" s="7">
        <f t="shared" si="52"/>
        <v>1173059</v>
      </c>
      <c r="H850" s="12">
        <f t="shared" si="53"/>
        <v>1.0421516326528055</v>
      </c>
      <c r="I850" s="12">
        <f t="shared" si="54"/>
        <v>87.648302578475665</v>
      </c>
      <c r="J850">
        <f t="shared" si="55"/>
        <v>1541</v>
      </c>
      <c r="M850" s="5" t="s">
        <v>119</v>
      </c>
      <c r="N850" s="7">
        <v>1173059</v>
      </c>
    </row>
    <row r="851" spans="1:14" x14ac:dyDescent="0.3">
      <c r="A851" s="5" t="s">
        <v>119</v>
      </c>
      <c r="B851" s="6" t="s">
        <v>10</v>
      </c>
      <c r="C851" s="6">
        <v>10373407</v>
      </c>
      <c r="D851" s="6">
        <v>232433</v>
      </c>
      <c r="E851" s="6">
        <v>8689255</v>
      </c>
      <c r="F851" s="6"/>
      <c r="G851" s="7">
        <f t="shared" si="52"/>
        <v>1451719</v>
      </c>
      <c r="H851" s="12">
        <f t="shared" si="53"/>
        <v>2.2406621084085492</v>
      </c>
      <c r="I851" s="12">
        <f t="shared" si="54"/>
        <v>83.764716837968464</v>
      </c>
      <c r="J851">
        <f t="shared" si="55"/>
        <v>1116</v>
      </c>
      <c r="M851" s="5" t="s">
        <v>119</v>
      </c>
      <c r="N851" s="7">
        <v>1451719</v>
      </c>
    </row>
    <row r="852" spans="1:14" x14ac:dyDescent="0.3">
      <c r="A852" s="5" t="s">
        <v>119</v>
      </c>
      <c r="B852" s="6" t="s">
        <v>10</v>
      </c>
      <c r="C852" s="6">
        <v>10417683</v>
      </c>
      <c r="D852" s="6">
        <v>143784</v>
      </c>
      <c r="E852" s="6">
        <v>7621938</v>
      </c>
      <c r="F852" s="6"/>
      <c r="G852" s="7">
        <f t="shared" si="52"/>
        <v>2651961</v>
      </c>
      <c r="H852" s="12">
        <f t="shared" si="53"/>
        <v>1.3801917374525603</v>
      </c>
      <c r="I852" s="12">
        <f t="shared" si="54"/>
        <v>73.163466386911551</v>
      </c>
      <c r="J852">
        <f t="shared" si="55"/>
        <v>44276</v>
      </c>
      <c r="M852" s="5" t="s">
        <v>119</v>
      </c>
      <c r="N852" s="7">
        <v>2651961</v>
      </c>
    </row>
    <row r="853" spans="1:14" x14ac:dyDescent="0.3">
      <c r="A853" s="5" t="s">
        <v>119</v>
      </c>
      <c r="B853" s="6" t="s">
        <v>10</v>
      </c>
      <c r="C853" s="6">
        <v>10449170</v>
      </c>
      <c r="D853" s="6">
        <v>115228</v>
      </c>
      <c r="E853" s="6">
        <v>7549045</v>
      </c>
      <c r="F853" s="6"/>
      <c r="G853" s="7">
        <f t="shared" si="52"/>
        <v>2784897</v>
      </c>
      <c r="H853" s="12">
        <f t="shared" si="53"/>
        <v>1.1027478737545662</v>
      </c>
      <c r="I853" s="12">
        <f t="shared" si="54"/>
        <v>72.245403223413916</v>
      </c>
      <c r="J853">
        <f t="shared" si="55"/>
        <v>31487</v>
      </c>
      <c r="M853" s="5" t="s">
        <v>119</v>
      </c>
      <c r="N853" s="7">
        <v>2784897</v>
      </c>
    </row>
    <row r="854" spans="1:14" x14ac:dyDescent="0.3">
      <c r="A854" s="5" t="s">
        <v>119</v>
      </c>
      <c r="B854" s="6" t="s">
        <v>10</v>
      </c>
      <c r="C854" s="6">
        <v>10479176</v>
      </c>
      <c r="D854" s="6">
        <v>289513</v>
      </c>
      <c r="E854" s="6">
        <v>9349029</v>
      </c>
      <c r="F854" s="6"/>
      <c r="G854" s="7">
        <f t="shared" si="52"/>
        <v>840634</v>
      </c>
      <c r="H854" s="12">
        <f t="shared" si="53"/>
        <v>2.7627458494828221</v>
      </c>
      <c r="I854" s="12">
        <f t="shared" si="54"/>
        <v>89.215306623345185</v>
      </c>
      <c r="J854">
        <f t="shared" si="55"/>
        <v>30006</v>
      </c>
      <c r="M854" s="5" t="s">
        <v>119</v>
      </c>
      <c r="N854" s="7">
        <v>840634</v>
      </c>
    </row>
    <row r="855" spans="1:14" x14ac:dyDescent="0.3">
      <c r="A855" s="5" t="s">
        <v>119</v>
      </c>
      <c r="B855" s="6" t="s">
        <v>10</v>
      </c>
      <c r="C855" s="6">
        <v>10513772</v>
      </c>
      <c r="D855" s="6">
        <v>148893</v>
      </c>
      <c r="E855" s="6">
        <v>7387620</v>
      </c>
      <c r="F855" s="6"/>
      <c r="G855" s="7">
        <f t="shared" si="52"/>
        <v>2977259</v>
      </c>
      <c r="H855" s="12">
        <f t="shared" si="53"/>
        <v>1.4161710944464081</v>
      </c>
      <c r="I855" s="12">
        <f t="shared" si="54"/>
        <v>70.26612332852568</v>
      </c>
      <c r="J855">
        <f t="shared" si="55"/>
        <v>34596</v>
      </c>
      <c r="M855" s="5" t="s">
        <v>119</v>
      </c>
      <c r="N855" s="7">
        <v>2977259</v>
      </c>
    </row>
    <row r="856" spans="1:14" x14ac:dyDescent="0.3">
      <c r="A856" s="5" t="s">
        <v>119</v>
      </c>
      <c r="B856" s="6" t="s">
        <v>10</v>
      </c>
      <c r="C856" s="6">
        <v>10558930</v>
      </c>
      <c r="D856" s="6">
        <v>246002</v>
      </c>
      <c r="E856" s="6">
        <v>8052717</v>
      </c>
      <c r="F856" s="6"/>
      <c r="G856" s="7">
        <f t="shared" si="52"/>
        <v>2260211</v>
      </c>
      <c r="H856" s="12">
        <f t="shared" si="53"/>
        <v>2.3298004627362809</v>
      </c>
      <c r="I856" s="12">
        <f t="shared" si="54"/>
        <v>76.264517332722164</v>
      </c>
      <c r="J856">
        <f t="shared" si="55"/>
        <v>45158</v>
      </c>
      <c r="M856" s="5" t="s">
        <v>119</v>
      </c>
      <c r="N856" s="7">
        <v>2260211</v>
      </c>
    </row>
    <row r="857" spans="1:14" x14ac:dyDescent="0.3">
      <c r="A857" s="5" t="s">
        <v>119</v>
      </c>
      <c r="B857" s="6" t="s">
        <v>10</v>
      </c>
      <c r="C857" s="6">
        <v>10597891</v>
      </c>
      <c r="D857" s="6">
        <v>261625</v>
      </c>
      <c r="E857" s="6">
        <v>7994033</v>
      </c>
      <c r="F857" s="6"/>
      <c r="G857" s="7">
        <f t="shared" si="52"/>
        <v>2342233</v>
      </c>
      <c r="H857" s="12">
        <f t="shared" si="53"/>
        <v>2.4686515458594545</v>
      </c>
      <c r="I857" s="12">
        <f t="shared" si="54"/>
        <v>75.43041346622644</v>
      </c>
      <c r="J857">
        <f t="shared" si="55"/>
        <v>38961</v>
      </c>
      <c r="M857" s="5" t="s">
        <v>119</v>
      </c>
      <c r="N857" s="7">
        <v>2342233</v>
      </c>
    </row>
    <row r="858" spans="1:14" x14ac:dyDescent="0.3">
      <c r="A858" s="5" t="s">
        <v>120</v>
      </c>
      <c r="B858" s="6" t="s">
        <v>10</v>
      </c>
      <c r="C858" s="6">
        <v>10619911</v>
      </c>
      <c r="D858" s="6">
        <v>290327</v>
      </c>
      <c r="E858" s="6">
        <v>9105990</v>
      </c>
      <c r="F858" s="6"/>
      <c r="G858" s="7">
        <f t="shared" si="52"/>
        <v>1223594</v>
      </c>
      <c r="H858" s="12">
        <f t="shared" si="53"/>
        <v>2.7337988049052386</v>
      </c>
      <c r="I858" s="12">
        <f t="shared" si="54"/>
        <v>85.74450388520205</v>
      </c>
      <c r="J858">
        <f t="shared" si="55"/>
        <v>22020</v>
      </c>
      <c r="M858" s="5" t="s">
        <v>120</v>
      </c>
      <c r="N858" s="7">
        <v>1223594</v>
      </c>
    </row>
    <row r="859" spans="1:14" x14ac:dyDescent="0.3">
      <c r="A859" s="5" t="s">
        <v>120</v>
      </c>
      <c r="B859" s="6" t="s">
        <v>10</v>
      </c>
      <c r="C859" s="6">
        <v>10668826</v>
      </c>
      <c r="D859" s="6">
        <v>214543</v>
      </c>
      <c r="E859" s="6">
        <v>8070289</v>
      </c>
      <c r="F859" s="6"/>
      <c r="G859" s="7">
        <f t="shared" si="52"/>
        <v>2383994</v>
      </c>
      <c r="H859" s="12">
        <f t="shared" si="53"/>
        <v>2.0109335366421761</v>
      </c>
      <c r="I859" s="12">
        <f t="shared" si="54"/>
        <v>75.643646264359347</v>
      </c>
      <c r="J859">
        <f t="shared" si="55"/>
        <v>48915</v>
      </c>
      <c r="M859" s="5" t="s">
        <v>120</v>
      </c>
      <c r="N859" s="7">
        <v>2383994</v>
      </c>
    </row>
    <row r="860" spans="1:14" x14ac:dyDescent="0.3">
      <c r="A860" s="5" t="s">
        <v>120</v>
      </c>
      <c r="B860" s="6" t="s">
        <v>10</v>
      </c>
      <c r="C860" s="6">
        <v>10679991</v>
      </c>
      <c r="D860" s="6">
        <v>152609</v>
      </c>
      <c r="E860" s="6">
        <v>7837655</v>
      </c>
      <c r="F860" s="6"/>
      <c r="G860" s="7">
        <f t="shared" si="52"/>
        <v>2689727</v>
      </c>
      <c r="H860" s="12">
        <f t="shared" si="53"/>
        <v>1.4289244251235793</v>
      </c>
      <c r="I860" s="12">
        <f t="shared" si="54"/>
        <v>73.386344613960816</v>
      </c>
      <c r="J860">
        <f t="shared" si="55"/>
        <v>11165</v>
      </c>
      <c r="M860" s="5" t="s">
        <v>120</v>
      </c>
      <c r="N860" s="7">
        <v>2689727</v>
      </c>
    </row>
    <row r="861" spans="1:14" x14ac:dyDescent="0.3">
      <c r="A861" s="5" t="s">
        <v>120</v>
      </c>
      <c r="B861" s="6" t="s">
        <v>10</v>
      </c>
      <c r="C861" s="6">
        <v>10699413</v>
      </c>
      <c r="D861" s="6">
        <v>318143</v>
      </c>
      <c r="E861" s="6">
        <v>8236209</v>
      </c>
      <c r="F861" s="6"/>
      <c r="G861" s="7">
        <f t="shared" si="52"/>
        <v>2145061</v>
      </c>
      <c r="H861" s="12">
        <f t="shared" si="53"/>
        <v>2.973462189000462</v>
      </c>
      <c r="I861" s="12">
        <f t="shared" si="54"/>
        <v>76.978138894161759</v>
      </c>
      <c r="J861">
        <f t="shared" si="55"/>
        <v>19422</v>
      </c>
      <c r="M861" s="5" t="s">
        <v>120</v>
      </c>
      <c r="N861" s="7">
        <v>2145061</v>
      </c>
    </row>
    <row r="862" spans="1:14" x14ac:dyDescent="0.3">
      <c r="A862" s="5" t="s">
        <v>120</v>
      </c>
      <c r="B862" s="6" t="s">
        <v>10</v>
      </c>
      <c r="C862" s="6">
        <v>10707842</v>
      </c>
      <c r="D862" s="6">
        <v>199098</v>
      </c>
      <c r="E862" s="6">
        <v>7939766</v>
      </c>
      <c r="F862" s="6"/>
      <c r="G862" s="7">
        <f t="shared" si="52"/>
        <v>2568978</v>
      </c>
      <c r="H862" s="12">
        <f t="shared" si="53"/>
        <v>1.8593662476528883</v>
      </c>
      <c r="I862" s="12">
        <f t="shared" si="54"/>
        <v>74.149076910174799</v>
      </c>
      <c r="J862">
        <f t="shared" si="55"/>
        <v>8429</v>
      </c>
      <c r="M862" s="5" t="s">
        <v>120</v>
      </c>
      <c r="N862" s="7">
        <v>2568978</v>
      </c>
    </row>
    <row r="863" spans="1:14" x14ac:dyDescent="0.3">
      <c r="A863" s="5" t="s">
        <v>120</v>
      </c>
      <c r="B863" s="6" t="s">
        <v>10</v>
      </c>
      <c r="C863" s="6">
        <v>10750960</v>
      </c>
      <c r="D863" s="6">
        <v>187432</v>
      </c>
      <c r="E863" s="6">
        <v>9284657</v>
      </c>
      <c r="F863" s="6"/>
      <c r="G863" s="7">
        <f t="shared" si="52"/>
        <v>1278871</v>
      </c>
      <c r="H863" s="12">
        <f t="shared" si="53"/>
        <v>1.7433977988942382</v>
      </c>
      <c r="I863" s="12">
        <f t="shared" si="54"/>
        <v>86.361190070468126</v>
      </c>
      <c r="J863">
        <f t="shared" si="55"/>
        <v>43118</v>
      </c>
      <c r="M863" s="5" t="s">
        <v>120</v>
      </c>
      <c r="N863" s="7">
        <v>1278871</v>
      </c>
    </row>
    <row r="864" spans="1:14" x14ac:dyDescent="0.3">
      <c r="A864" s="5" t="s">
        <v>120</v>
      </c>
      <c r="B864" s="6" t="s">
        <v>10</v>
      </c>
      <c r="C864" s="6">
        <v>10782939</v>
      </c>
      <c r="D864" s="6">
        <v>110217</v>
      </c>
      <c r="E864" s="6">
        <v>9320645</v>
      </c>
      <c r="F864" s="6"/>
      <c r="G864" s="7">
        <f t="shared" si="52"/>
        <v>1352077</v>
      </c>
      <c r="H864" s="12">
        <f t="shared" si="53"/>
        <v>1.0221424789660778</v>
      </c>
      <c r="I864" s="12">
        <f t="shared" si="54"/>
        <v>86.438817839922862</v>
      </c>
      <c r="J864">
        <f t="shared" si="55"/>
        <v>31979</v>
      </c>
      <c r="M864" s="5" t="s">
        <v>120</v>
      </c>
      <c r="N864" s="7">
        <v>1352077</v>
      </c>
    </row>
    <row r="865" spans="1:14" x14ac:dyDescent="0.3">
      <c r="A865" s="5" t="s">
        <v>120</v>
      </c>
      <c r="B865" s="6" t="s">
        <v>10</v>
      </c>
      <c r="C865" s="6">
        <v>10807352</v>
      </c>
      <c r="D865" s="6">
        <v>222025</v>
      </c>
      <c r="E865" s="6">
        <v>9702621</v>
      </c>
      <c r="F865" s="6"/>
      <c r="G865" s="7">
        <f t="shared" si="52"/>
        <v>882706</v>
      </c>
      <c r="H865" s="12">
        <f t="shared" si="53"/>
        <v>2.0543885310666297</v>
      </c>
      <c r="I865" s="12">
        <f t="shared" si="54"/>
        <v>89.777967813022101</v>
      </c>
      <c r="J865">
        <f t="shared" si="55"/>
        <v>24413</v>
      </c>
      <c r="M865" s="5" t="s">
        <v>120</v>
      </c>
      <c r="N865" s="7">
        <v>882706</v>
      </c>
    </row>
    <row r="866" spans="1:14" x14ac:dyDescent="0.3">
      <c r="A866" s="5" t="s">
        <v>121</v>
      </c>
      <c r="B866" s="6" t="s">
        <v>10</v>
      </c>
      <c r="C866" s="6">
        <v>10810334</v>
      </c>
      <c r="D866" s="6">
        <v>197534</v>
      </c>
      <c r="E866" s="6">
        <v>8114229</v>
      </c>
      <c r="F866" s="6"/>
      <c r="G866" s="7">
        <f t="shared" si="52"/>
        <v>2498571</v>
      </c>
      <c r="H866" s="12">
        <f t="shared" si="53"/>
        <v>1.8272700917473965</v>
      </c>
      <c r="I866" s="12">
        <f t="shared" si="54"/>
        <v>75.059928768158329</v>
      </c>
      <c r="J866">
        <f t="shared" si="55"/>
        <v>2982</v>
      </c>
      <c r="M866" s="5" t="s">
        <v>121</v>
      </c>
      <c r="N866" s="7">
        <v>2498571</v>
      </c>
    </row>
    <row r="867" spans="1:14" x14ac:dyDescent="0.3">
      <c r="A867" s="5" t="s">
        <v>121</v>
      </c>
      <c r="B867" s="6" t="s">
        <v>10</v>
      </c>
      <c r="C867" s="6">
        <v>10824257</v>
      </c>
      <c r="D867" s="6">
        <v>171085</v>
      </c>
      <c r="E867" s="6">
        <v>7808709</v>
      </c>
      <c r="F867" s="6"/>
      <c r="G867" s="7">
        <f t="shared" si="52"/>
        <v>2844463</v>
      </c>
      <c r="H867" s="12">
        <f t="shared" si="53"/>
        <v>1.5805703800270081</v>
      </c>
      <c r="I867" s="12">
        <f t="shared" si="54"/>
        <v>72.140831467693346</v>
      </c>
      <c r="J867">
        <f t="shared" si="55"/>
        <v>13923</v>
      </c>
      <c r="M867" s="5" t="s">
        <v>121</v>
      </c>
      <c r="N867" s="7">
        <v>2844463</v>
      </c>
    </row>
    <row r="868" spans="1:14" x14ac:dyDescent="0.3">
      <c r="A868" s="5" t="s">
        <v>121</v>
      </c>
      <c r="B868" s="6" t="s">
        <v>10</v>
      </c>
      <c r="C868" s="6">
        <v>10839194</v>
      </c>
      <c r="D868" s="6">
        <v>228066</v>
      </c>
      <c r="E868" s="6">
        <v>8857439</v>
      </c>
      <c r="F868" s="6"/>
      <c r="G868" s="7">
        <f t="shared" si="52"/>
        <v>1753689</v>
      </c>
      <c r="H868" s="12">
        <f t="shared" si="53"/>
        <v>2.1040863370468319</v>
      </c>
      <c r="I868" s="12">
        <f t="shared" si="54"/>
        <v>81.716767870378561</v>
      </c>
      <c r="J868">
        <f t="shared" si="55"/>
        <v>14937</v>
      </c>
      <c r="M868" s="5" t="s">
        <v>121</v>
      </c>
      <c r="N868" s="7">
        <v>1753689</v>
      </c>
    </row>
    <row r="869" spans="1:14" x14ac:dyDescent="0.3">
      <c r="A869" s="5" t="s">
        <v>121</v>
      </c>
      <c r="B869" s="6" t="s">
        <v>10</v>
      </c>
      <c r="C869" s="6">
        <v>10884601</v>
      </c>
      <c r="D869" s="6">
        <v>142416</v>
      </c>
      <c r="E869" s="6">
        <v>8440987</v>
      </c>
      <c r="F869" s="6"/>
      <c r="G869" s="7">
        <f t="shared" si="52"/>
        <v>2301198</v>
      </c>
      <c r="H869" s="12">
        <f t="shared" si="53"/>
        <v>1.308417276848274</v>
      </c>
      <c r="I869" s="12">
        <f t="shared" si="54"/>
        <v>77.549806373242347</v>
      </c>
      <c r="J869">
        <f t="shared" si="55"/>
        <v>45407</v>
      </c>
      <c r="M869" s="5" t="s">
        <v>121</v>
      </c>
      <c r="N869" s="7">
        <v>2301198</v>
      </c>
    </row>
    <row r="870" spans="1:14" x14ac:dyDescent="0.3">
      <c r="A870" s="5" t="s">
        <v>121</v>
      </c>
      <c r="B870" s="6" t="s">
        <v>10</v>
      </c>
      <c r="C870" s="6">
        <v>10896678</v>
      </c>
      <c r="D870" s="6">
        <v>265585</v>
      </c>
      <c r="E870" s="6">
        <v>8955041</v>
      </c>
      <c r="F870" s="6"/>
      <c r="G870" s="7">
        <f t="shared" si="52"/>
        <v>1676052</v>
      </c>
      <c r="H870" s="12">
        <f t="shared" si="53"/>
        <v>2.4373024512608339</v>
      </c>
      <c r="I870" s="12">
        <f t="shared" si="54"/>
        <v>82.181385923306166</v>
      </c>
      <c r="J870">
        <f t="shared" si="55"/>
        <v>12077</v>
      </c>
      <c r="M870" s="5" t="s">
        <v>121</v>
      </c>
      <c r="N870" s="7">
        <v>1676052</v>
      </c>
    </row>
    <row r="871" spans="1:14" x14ac:dyDescent="0.3">
      <c r="A871" s="5" t="s">
        <v>121</v>
      </c>
      <c r="B871" s="6" t="s">
        <v>10</v>
      </c>
      <c r="C871" s="6">
        <v>10911166</v>
      </c>
      <c r="D871" s="6">
        <v>303460</v>
      </c>
      <c r="E871" s="6">
        <v>8665079</v>
      </c>
      <c r="F871" s="6"/>
      <c r="G871" s="7">
        <f t="shared" si="52"/>
        <v>1942627</v>
      </c>
      <c r="H871" s="12">
        <f t="shared" si="53"/>
        <v>2.781187638424711</v>
      </c>
      <c r="I871" s="12">
        <f t="shared" si="54"/>
        <v>79.414784817681266</v>
      </c>
      <c r="J871">
        <f t="shared" si="55"/>
        <v>14488</v>
      </c>
      <c r="M871" s="5" t="s">
        <v>121</v>
      </c>
      <c r="N871" s="7">
        <v>1942627</v>
      </c>
    </row>
    <row r="872" spans="1:14" x14ac:dyDescent="0.3">
      <c r="A872" s="5" t="s">
        <v>121</v>
      </c>
      <c r="B872" s="6" t="s">
        <v>10</v>
      </c>
      <c r="C872" s="6">
        <v>10956512</v>
      </c>
      <c r="D872" s="6">
        <v>156388</v>
      </c>
      <c r="E872" s="6">
        <v>8429325</v>
      </c>
      <c r="F872" s="6"/>
      <c r="G872" s="7">
        <f t="shared" si="52"/>
        <v>2370799</v>
      </c>
      <c r="H872" s="12">
        <f t="shared" si="53"/>
        <v>1.4273520624081824</v>
      </c>
      <c r="I872" s="12">
        <f t="shared" si="54"/>
        <v>76.93438386230946</v>
      </c>
      <c r="J872">
        <f t="shared" si="55"/>
        <v>45346</v>
      </c>
      <c r="M872" s="5" t="s">
        <v>121</v>
      </c>
      <c r="N872" s="7">
        <v>2370799</v>
      </c>
    </row>
    <row r="873" spans="1:14" x14ac:dyDescent="0.3">
      <c r="A873" s="5" t="s">
        <v>121</v>
      </c>
      <c r="B873" s="6" t="s">
        <v>10</v>
      </c>
      <c r="C873" s="6">
        <v>10977923</v>
      </c>
      <c r="D873" s="6">
        <v>233579</v>
      </c>
      <c r="E873" s="6">
        <v>8480894</v>
      </c>
      <c r="F873" s="6"/>
      <c r="G873" s="7">
        <f t="shared" si="52"/>
        <v>2263450</v>
      </c>
      <c r="H873" s="12">
        <f t="shared" si="53"/>
        <v>2.1277157801161475</v>
      </c>
      <c r="I873" s="12">
        <f t="shared" si="54"/>
        <v>77.254085312859274</v>
      </c>
      <c r="J873">
        <f t="shared" si="55"/>
        <v>21411</v>
      </c>
      <c r="M873" s="5" t="s">
        <v>121</v>
      </c>
      <c r="N873" s="7">
        <v>2263450</v>
      </c>
    </row>
    <row r="874" spans="1:14" x14ac:dyDescent="0.3">
      <c r="A874" s="5" t="s">
        <v>122</v>
      </c>
      <c r="B874" s="6" t="s">
        <v>10</v>
      </c>
      <c r="C874" s="6">
        <v>10996357</v>
      </c>
      <c r="D874" s="6">
        <v>308149</v>
      </c>
      <c r="E874" s="6">
        <v>8311061</v>
      </c>
      <c r="F874" s="6"/>
      <c r="G874" s="7">
        <f t="shared" si="52"/>
        <v>2377147</v>
      </c>
      <c r="H874" s="12">
        <f t="shared" si="53"/>
        <v>2.8022826105045517</v>
      </c>
      <c r="I874" s="12">
        <f t="shared" si="54"/>
        <v>75.580130765125205</v>
      </c>
      <c r="J874">
        <f t="shared" si="55"/>
        <v>18434</v>
      </c>
      <c r="M874" s="5" t="s">
        <v>122</v>
      </c>
      <c r="N874" s="7">
        <v>2377147</v>
      </c>
    </row>
    <row r="875" spans="1:14" x14ac:dyDescent="0.3">
      <c r="A875" s="5" t="s">
        <v>122</v>
      </c>
      <c r="B875" s="6" t="s">
        <v>10</v>
      </c>
      <c r="C875" s="6">
        <v>11045029</v>
      </c>
      <c r="D875" s="6">
        <v>329743</v>
      </c>
      <c r="E875" s="6">
        <v>9852239</v>
      </c>
      <c r="F875" s="6"/>
      <c r="G875" s="7">
        <f t="shared" si="52"/>
        <v>863047</v>
      </c>
      <c r="H875" s="12">
        <f t="shared" si="53"/>
        <v>2.9854425914137481</v>
      </c>
      <c r="I875" s="12">
        <f t="shared" si="54"/>
        <v>89.200662125921085</v>
      </c>
      <c r="J875">
        <f t="shared" si="55"/>
        <v>48672</v>
      </c>
      <c r="M875" s="5" t="s">
        <v>122</v>
      </c>
      <c r="N875" s="7">
        <v>863047</v>
      </c>
    </row>
    <row r="876" spans="1:14" x14ac:dyDescent="0.3">
      <c r="A876" s="5" t="s">
        <v>122</v>
      </c>
      <c r="B876" s="6" t="s">
        <v>10</v>
      </c>
      <c r="C876" s="6">
        <v>11046328</v>
      </c>
      <c r="D876" s="6">
        <v>155677</v>
      </c>
      <c r="E876" s="6">
        <v>8492399</v>
      </c>
      <c r="F876" s="6"/>
      <c r="G876" s="7">
        <f t="shared" si="52"/>
        <v>2398252</v>
      </c>
      <c r="H876" s="12">
        <f t="shared" si="53"/>
        <v>1.4093099534976692</v>
      </c>
      <c r="I876" s="12">
        <f t="shared" si="54"/>
        <v>76.87983735409631</v>
      </c>
      <c r="J876">
        <f t="shared" si="55"/>
        <v>1299</v>
      </c>
      <c r="M876" s="5" t="s">
        <v>122</v>
      </c>
      <c r="N876" s="7">
        <v>2398252</v>
      </c>
    </row>
    <row r="877" spans="1:14" x14ac:dyDescent="0.3">
      <c r="A877" s="5" t="s">
        <v>122</v>
      </c>
      <c r="B877" s="6" t="s">
        <v>10</v>
      </c>
      <c r="C877" s="6">
        <v>11056970</v>
      </c>
      <c r="D877" s="6">
        <v>185235</v>
      </c>
      <c r="E877" s="6">
        <v>9939148</v>
      </c>
      <c r="F877" s="6"/>
      <c r="G877" s="7">
        <f t="shared" si="52"/>
        <v>932587</v>
      </c>
      <c r="H877" s="12">
        <f t="shared" si="53"/>
        <v>1.6752781277330047</v>
      </c>
      <c r="I877" s="12">
        <f t="shared" si="54"/>
        <v>89.890340662948347</v>
      </c>
      <c r="J877">
        <f t="shared" si="55"/>
        <v>10642</v>
      </c>
      <c r="M877" s="5" t="s">
        <v>122</v>
      </c>
      <c r="N877" s="7">
        <v>932587</v>
      </c>
    </row>
    <row r="878" spans="1:14" x14ac:dyDescent="0.3">
      <c r="A878" s="5" t="s">
        <v>122</v>
      </c>
      <c r="B878" s="6" t="s">
        <v>10</v>
      </c>
      <c r="C878" s="6">
        <v>11098434</v>
      </c>
      <c r="D878" s="6">
        <v>142058</v>
      </c>
      <c r="E878" s="6">
        <v>7848264</v>
      </c>
      <c r="F878" s="6"/>
      <c r="G878" s="7">
        <f t="shared" si="52"/>
        <v>3108112</v>
      </c>
      <c r="H878" s="12">
        <f t="shared" si="53"/>
        <v>1.2799823831001744</v>
      </c>
      <c r="I878" s="12">
        <f t="shared" si="54"/>
        <v>70.715057637861349</v>
      </c>
      <c r="J878">
        <f t="shared" si="55"/>
        <v>41464</v>
      </c>
      <c r="M878" s="5" t="s">
        <v>122</v>
      </c>
      <c r="N878" s="7">
        <v>3108112</v>
      </c>
    </row>
    <row r="879" spans="1:14" x14ac:dyDescent="0.3">
      <c r="A879" s="5" t="s">
        <v>122</v>
      </c>
      <c r="B879" s="6" t="s">
        <v>10</v>
      </c>
      <c r="C879" s="6">
        <v>11140530</v>
      </c>
      <c r="D879" s="6">
        <v>321234</v>
      </c>
      <c r="E879" s="6">
        <v>7806399</v>
      </c>
      <c r="F879" s="6"/>
      <c r="G879" s="7">
        <f t="shared" si="52"/>
        <v>3012897</v>
      </c>
      <c r="H879" s="12">
        <f t="shared" si="53"/>
        <v>2.8834714326876729</v>
      </c>
      <c r="I879" s="12">
        <f t="shared" si="54"/>
        <v>70.072061203551357</v>
      </c>
      <c r="J879">
        <f t="shared" si="55"/>
        <v>42096</v>
      </c>
      <c r="M879" s="5" t="s">
        <v>122</v>
      </c>
      <c r="N879" s="7">
        <v>3012897</v>
      </c>
    </row>
    <row r="880" spans="1:14" x14ac:dyDescent="0.3">
      <c r="A880" s="5" t="s">
        <v>122</v>
      </c>
      <c r="B880" s="6" t="s">
        <v>10</v>
      </c>
      <c r="C880" s="6">
        <v>11159268</v>
      </c>
      <c r="D880" s="6">
        <v>187384</v>
      </c>
      <c r="E880" s="6">
        <v>9501586</v>
      </c>
      <c r="F880" s="6"/>
      <c r="G880" s="7">
        <f t="shared" si="52"/>
        <v>1470298</v>
      </c>
      <c r="H880" s="12">
        <f t="shared" si="53"/>
        <v>1.6791782400064232</v>
      </c>
      <c r="I880" s="12">
        <f t="shared" si="54"/>
        <v>85.145244293801341</v>
      </c>
      <c r="J880">
        <f t="shared" si="55"/>
        <v>18738</v>
      </c>
      <c r="M880" s="5" t="s">
        <v>122</v>
      </c>
      <c r="N880" s="7">
        <v>1470298</v>
      </c>
    </row>
    <row r="881" spans="1:14" x14ac:dyDescent="0.3">
      <c r="A881" s="5" t="s">
        <v>122</v>
      </c>
      <c r="B881" s="6" t="s">
        <v>10</v>
      </c>
      <c r="C881" s="6">
        <v>11179187</v>
      </c>
      <c r="D881" s="6">
        <v>257265</v>
      </c>
      <c r="E881" s="6">
        <v>10035519</v>
      </c>
      <c r="F881" s="6"/>
      <c r="G881" s="7">
        <f t="shared" si="52"/>
        <v>886403</v>
      </c>
      <c r="H881" s="12">
        <f t="shared" si="53"/>
        <v>2.3012854154778877</v>
      </c>
      <c r="I881" s="12">
        <f t="shared" si="54"/>
        <v>89.769667508021826</v>
      </c>
      <c r="J881">
        <f t="shared" si="55"/>
        <v>19919</v>
      </c>
      <c r="M881" s="5" t="s">
        <v>122</v>
      </c>
      <c r="N881" s="7">
        <v>886403</v>
      </c>
    </row>
    <row r="882" spans="1:14" x14ac:dyDescent="0.3">
      <c r="A882" s="5" t="s">
        <v>123</v>
      </c>
      <c r="B882" s="6" t="s">
        <v>10</v>
      </c>
      <c r="C882" s="6">
        <v>11191349</v>
      </c>
      <c r="D882" s="6">
        <v>198082</v>
      </c>
      <c r="E882" s="6">
        <v>8304009</v>
      </c>
      <c r="F882" s="6"/>
      <c r="G882" s="7">
        <f t="shared" si="52"/>
        <v>2689258</v>
      </c>
      <c r="H882" s="12">
        <f t="shared" si="53"/>
        <v>1.7699564190161525</v>
      </c>
      <c r="I882" s="12">
        <f t="shared" si="54"/>
        <v>74.200250568541833</v>
      </c>
      <c r="J882">
        <f t="shared" si="55"/>
        <v>12162</v>
      </c>
      <c r="M882" s="5" t="s">
        <v>123</v>
      </c>
      <c r="N882" s="7">
        <v>2689258</v>
      </c>
    </row>
    <row r="883" spans="1:14" x14ac:dyDescent="0.3">
      <c r="A883" s="5" t="s">
        <v>123</v>
      </c>
      <c r="B883" s="6" t="s">
        <v>10</v>
      </c>
      <c r="C883" s="6">
        <v>11236754</v>
      </c>
      <c r="D883" s="6">
        <v>328920</v>
      </c>
      <c r="E883" s="6">
        <v>9736665</v>
      </c>
      <c r="F883" s="6"/>
      <c r="G883" s="7">
        <f t="shared" si="52"/>
        <v>1171169</v>
      </c>
      <c r="H883" s="12">
        <f t="shared" si="53"/>
        <v>2.9271798599488785</v>
      </c>
      <c r="I883" s="12">
        <f t="shared" si="54"/>
        <v>86.650157153925406</v>
      </c>
      <c r="J883">
        <f t="shared" si="55"/>
        <v>45405</v>
      </c>
      <c r="M883" s="5" t="s">
        <v>123</v>
      </c>
      <c r="N883" s="7">
        <v>1171169</v>
      </c>
    </row>
    <row r="884" spans="1:14" x14ac:dyDescent="0.3">
      <c r="A884" s="5" t="s">
        <v>123</v>
      </c>
      <c r="B884" s="6" t="s">
        <v>10</v>
      </c>
      <c r="C884" s="6">
        <v>11284090</v>
      </c>
      <c r="D884" s="6">
        <v>245565</v>
      </c>
      <c r="E884" s="6">
        <v>9796168</v>
      </c>
      <c r="F884" s="6"/>
      <c r="G884" s="7">
        <f t="shared" si="52"/>
        <v>1242357</v>
      </c>
      <c r="H884" s="12">
        <f t="shared" si="53"/>
        <v>2.1762056133901804</v>
      </c>
      <c r="I884" s="12">
        <f t="shared" si="54"/>
        <v>86.81398322771264</v>
      </c>
      <c r="J884">
        <f t="shared" si="55"/>
        <v>47336</v>
      </c>
      <c r="M884" s="5" t="s">
        <v>123</v>
      </c>
      <c r="N884" s="7">
        <v>1242357</v>
      </c>
    </row>
    <row r="885" spans="1:14" x14ac:dyDescent="0.3">
      <c r="A885" s="5" t="s">
        <v>123</v>
      </c>
      <c r="B885" s="6" t="s">
        <v>10</v>
      </c>
      <c r="C885" s="6">
        <v>11316219</v>
      </c>
      <c r="D885" s="6">
        <v>154695</v>
      </c>
      <c r="E885" s="6">
        <v>9201440</v>
      </c>
      <c r="F885" s="6"/>
      <c r="G885" s="7">
        <f t="shared" si="52"/>
        <v>1960084</v>
      </c>
      <c r="H885" s="12">
        <f t="shared" si="53"/>
        <v>1.3670202034796253</v>
      </c>
      <c r="I885" s="12">
        <f t="shared" si="54"/>
        <v>81.311964711888308</v>
      </c>
      <c r="J885">
        <f t="shared" si="55"/>
        <v>32129</v>
      </c>
      <c r="M885" s="5" t="s">
        <v>123</v>
      </c>
      <c r="N885" s="7">
        <v>1960084</v>
      </c>
    </row>
    <row r="886" spans="1:14" x14ac:dyDescent="0.3">
      <c r="A886" s="5" t="s">
        <v>123</v>
      </c>
      <c r="B886" s="6" t="s">
        <v>10</v>
      </c>
      <c r="C886" s="6">
        <v>11351672</v>
      </c>
      <c r="D886" s="6">
        <v>302336</v>
      </c>
      <c r="E886" s="6">
        <v>8312218</v>
      </c>
      <c r="F886" s="6"/>
      <c r="G886" s="7">
        <f t="shared" si="52"/>
        <v>2737118</v>
      </c>
      <c r="H886" s="12">
        <f t="shared" si="53"/>
        <v>2.6633609568704943</v>
      </c>
      <c r="I886" s="12">
        <f t="shared" si="54"/>
        <v>73.224613959952336</v>
      </c>
      <c r="J886">
        <f t="shared" si="55"/>
        <v>35453</v>
      </c>
      <c r="M886" s="5" t="s">
        <v>123</v>
      </c>
      <c r="N886" s="7">
        <v>2737118</v>
      </c>
    </row>
    <row r="887" spans="1:14" x14ac:dyDescent="0.3">
      <c r="A887" s="5" t="s">
        <v>123</v>
      </c>
      <c r="B887" s="6" t="s">
        <v>10</v>
      </c>
      <c r="C887" s="6">
        <v>11398968</v>
      </c>
      <c r="D887" s="6">
        <v>302309</v>
      </c>
      <c r="E887" s="6">
        <v>8496557</v>
      </c>
      <c r="F887" s="6"/>
      <c r="G887" s="7">
        <f t="shared" si="52"/>
        <v>2600102</v>
      </c>
      <c r="H887" s="12">
        <f t="shared" si="53"/>
        <v>2.6520734157688661</v>
      </c>
      <c r="I887" s="12">
        <f t="shared" si="54"/>
        <v>74.537949400331684</v>
      </c>
      <c r="J887">
        <f t="shared" si="55"/>
        <v>47296</v>
      </c>
      <c r="M887" s="5" t="s">
        <v>123</v>
      </c>
      <c r="N887" s="7">
        <v>2600102</v>
      </c>
    </row>
    <row r="888" spans="1:14" x14ac:dyDescent="0.3">
      <c r="A888" s="5" t="s">
        <v>123</v>
      </c>
      <c r="B888" s="6" t="s">
        <v>10</v>
      </c>
      <c r="C888" s="6">
        <v>11448087</v>
      </c>
      <c r="D888" s="6">
        <v>116303</v>
      </c>
      <c r="E888" s="6">
        <v>9573284</v>
      </c>
      <c r="F888" s="6"/>
      <c r="G888" s="7">
        <f t="shared" si="52"/>
        <v>1758500</v>
      </c>
      <c r="H888" s="12">
        <f t="shared" si="53"/>
        <v>1.0159164583567544</v>
      </c>
      <c r="I888" s="12">
        <f t="shared" si="54"/>
        <v>83.623438571003177</v>
      </c>
      <c r="J888">
        <f t="shared" si="55"/>
        <v>49119</v>
      </c>
      <c r="M888" s="5" t="s">
        <v>123</v>
      </c>
      <c r="N888" s="7">
        <v>1758500</v>
      </c>
    </row>
    <row r="889" spans="1:14" x14ac:dyDescent="0.3">
      <c r="A889" s="5" t="s">
        <v>123</v>
      </c>
      <c r="B889" s="6" t="s">
        <v>10</v>
      </c>
      <c r="C889" s="6">
        <v>11452641</v>
      </c>
      <c r="D889" s="6">
        <v>280513</v>
      </c>
      <c r="E889" s="6">
        <v>10257819</v>
      </c>
      <c r="F889" s="6"/>
      <c r="G889" s="7">
        <f t="shared" si="52"/>
        <v>914309</v>
      </c>
      <c r="H889" s="12">
        <f t="shared" si="53"/>
        <v>2.4493302461851374</v>
      </c>
      <c r="I889" s="12">
        <f t="shared" si="54"/>
        <v>89.567279721768983</v>
      </c>
      <c r="J889">
        <f t="shared" si="55"/>
        <v>4554</v>
      </c>
      <c r="M889" s="5" t="s">
        <v>123</v>
      </c>
      <c r="N889" s="7">
        <v>914309</v>
      </c>
    </row>
    <row r="890" spans="1:14" x14ac:dyDescent="0.3">
      <c r="A890" s="5" t="s">
        <v>124</v>
      </c>
      <c r="B890" s="6" t="s">
        <v>10</v>
      </c>
      <c r="C890" s="6">
        <v>11464599</v>
      </c>
      <c r="D890" s="6">
        <v>155365</v>
      </c>
      <c r="E890" s="6">
        <v>9219449</v>
      </c>
      <c r="F890" s="6"/>
      <c r="G890" s="7">
        <f t="shared" si="52"/>
        <v>2089785</v>
      </c>
      <c r="H890" s="12">
        <f t="shared" si="53"/>
        <v>1.3551716898253483</v>
      </c>
      <c r="I890" s="12">
        <f t="shared" si="54"/>
        <v>80.416672227262382</v>
      </c>
      <c r="J890">
        <f t="shared" si="55"/>
        <v>11958</v>
      </c>
      <c r="M890" s="5" t="s">
        <v>124</v>
      </c>
      <c r="N890" s="7">
        <v>2089785</v>
      </c>
    </row>
    <row r="891" spans="1:14" x14ac:dyDescent="0.3">
      <c r="A891" s="5" t="s">
        <v>124</v>
      </c>
      <c r="B891" s="6" t="s">
        <v>10</v>
      </c>
      <c r="C891" s="6">
        <v>11505665</v>
      </c>
      <c r="D891" s="6">
        <v>237774</v>
      </c>
      <c r="E891" s="6">
        <v>9273507</v>
      </c>
      <c r="F891" s="6"/>
      <c r="G891" s="7">
        <f t="shared" si="52"/>
        <v>1994384</v>
      </c>
      <c r="H891" s="12">
        <f t="shared" si="53"/>
        <v>2.0665819837445292</v>
      </c>
      <c r="I891" s="12">
        <f t="shared" si="54"/>
        <v>80.599487296040692</v>
      </c>
      <c r="J891">
        <f t="shared" si="55"/>
        <v>41066</v>
      </c>
      <c r="M891" s="5" t="s">
        <v>124</v>
      </c>
      <c r="N891" s="7">
        <v>1994384</v>
      </c>
    </row>
    <row r="892" spans="1:14" x14ac:dyDescent="0.3">
      <c r="A892" s="5" t="s">
        <v>124</v>
      </c>
      <c r="B892" s="6" t="s">
        <v>10</v>
      </c>
      <c r="C892" s="6">
        <v>11530455</v>
      </c>
      <c r="D892" s="6">
        <v>299679</v>
      </c>
      <c r="E892" s="6">
        <v>8913907</v>
      </c>
      <c r="F892" s="6"/>
      <c r="G892" s="7">
        <f t="shared" si="52"/>
        <v>2316869</v>
      </c>
      <c r="H892" s="12">
        <f t="shared" si="53"/>
        <v>2.5990214609917821</v>
      </c>
      <c r="I892" s="12">
        <f t="shared" si="54"/>
        <v>77.307504343930916</v>
      </c>
      <c r="J892">
        <f t="shared" si="55"/>
        <v>24790</v>
      </c>
      <c r="M892" s="5" t="s">
        <v>124</v>
      </c>
      <c r="N892" s="7">
        <v>2316869</v>
      </c>
    </row>
    <row r="893" spans="1:14" x14ac:dyDescent="0.3">
      <c r="A893" s="5" t="s">
        <v>124</v>
      </c>
      <c r="B893" s="6" t="s">
        <v>10</v>
      </c>
      <c r="C893" s="6">
        <v>11538097</v>
      </c>
      <c r="D893" s="6">
        <v>153891</v>
      </c>
      <c r="E893" s="6">
        <v>9622278</v>
      </c>
      <c r="F893" s="6"/>
      <c r="G893" s="7">
        <f t="shared" si="52"/>
        <v>1761928</v>
      </c>
      <c r="H893" s="12">
        <f t="shared" si="53"/>
        <v>1.3337641380550016</v>
      </c>
      <c r="I893" s="12">
        <f t="shared" si="54"/>
        <v>83.395710748488256</v>
      </c>
      <c r="J893">
        <f t="shared" si="55"/>
        <v>7642</v>
      </c>
      <c r="M893" s="5" t="s">
        <v>124</v>
      </c>
      <c r="N893" s="7">
        <v>1761928</v>
      </c>
    </row>
    <row r="894" spans="1:14" x14ac:dyDescent="0.3">
      <c r="A894" s="5" t="s">
        <v>124</v>
      </c>
      <c r="B894" s="6" t="s">
        <v>10</v>
      </c>
      <c r="C894" s="6">
        <v>11552751</v>
      </c>
      <c r="D894" s="6">
        <v>206877</v>
      </c>
      <c r="E894" s="6">
        <v>9870274</v>
      </c>
      <c r="F894" s="6"/>
      <c r="G894" s="7">
        <f t="shared" si="52"/>
        <v>1475600</v>
      </c>
      <c r="H894" s="12">
        <f t="shared" si="53"/>
        <v>1.7907163410688935</v>
      </c>
      <c r="I894" s="12">
        <f t="shared" si="54"/>
        <v>85.436568311738043</v>
      </c>
      <c r="J894">
        <f t="shared" si="55"/>
        <v>14654</v>
      </c>
      <c r="M894" s="5" t="s">
        <v>124</v>
      </c>
      <c r="N894" s="7">
        <v>1475600</v>
      </c>
    </row>
    <row r="895" spans="1:14" x14ac:dyDescent="0.3">
      <c r="A895" s="5" t="s">
        <v>124</v>
      </c>
      <c r="B895" s="6" t="s">
        <v>10</v>
      </c>
      <c r="C895" s="6">
        <v>11592182</v>
      </c>
      <c r="D895" s="6">
        <v>335946</v>
      </c>
      <c r="E895" s="6">
        <v>10104649</v>
      </c>
      <c r="F895" s="6"/>
      <c r="G895" s="7">
        <f t="shared" si="52"/>
        <v>1151587</v>
      </c>
      <c r="H895" s="12">
        <f t="shared" si="53"/>
        <v>2.8980393855099926</v>
      </c>
      <c r="I895" s="12">
        <f t="shared" si="54"/>
        <v>87.167791188923701</v>
      </c>
      <c r="J895">
        <f t="shared" si="55"/>
        <v>39431</v>
      </c>
      <c r="M895" s="5" t="s">
        <v>124</v>
      </c>
      <c r="N895" s="7">
        <v>1151587</v>
      </c>
    </row>
    <row r="896" spans="1:14" x14ac:dyDescent="0.3">
      <c r="A896" s="5" t="s">
        <v>124</v>
      </c>
      <c r="B896" s="6" t="s">
        <v>10</v>
      </c>
      <c r="C896" s="6">
        <v>11639271</v>
      </c>
      <c r="D896" s="6">
        <v>188490</v>
      </c>
      <c r="E896" s="6">
        <v>10298007</v>
      </c>
      <c r="F896" s="6"/>
      <c r="G896" s="7">
        <f t="shared" si="52"/>
        <v>1152774</v>
      </c>
      <c r="H896" s="12">
        <f t="shared" si="53"/>
        <v>1.6194313200543229</v>
      </c>
      <c r="I896" s="12">
        <f t="shared" si="54"/>
        <v>88.476391691541508</v>
      </c>
      <c r="J896">
        <f t="shared" si="55"/>
        <v>47089</v>
      </c>
      <c r="M896" s="5" t="s">
        <v>124</v>
      </c>
      <c r="N896" s="7">
        <v>1152774</v>
      </c>
    </row>
    <row r="897" spans="1:14" x14ac:dyDescent="0.3">
      <c r="A897" s="5" t="s">
        <v>124</v>
      </c>
      <c r="B897" s="6" t="s">
        <v>10</v>
      </c>
      <c r="C897" s="6">
        <v>11644353</v>
      </c>
      <c r="D897" s="6">
        <v>255596</v>
      </c>
      <c r="E897" s="6">
        <v>9719072</v>
      </c>
      <c r="F897" s="6"/>
      <c r="G897" s="7">
        <f t="shared" si="52"/>
        <v>1669685</v>
      </c>
      <c r="H897" s="12">
        <f t="shared" si="53"/>
        <v>2.1950210544115247</v>
      </c>
      <c r="I897" s="12">
        <f t="shared" si="54"/>
        <v>83.465968439809416</v>
      </c>
      <c r="J897">
        <f t="shared" si="55"/>
        <v>5082</v>
      </c>
      <c r="M897" s="5" t="s">
        <v>124</v>
      </c>
      <c r="N897" s="7">
        <v>1669685</v>
      </c>
    </row>
    <row r="898" spans="1:14" x14ac:dyDescent="0.3">
      <c r="A898" s="5" t="s">
        <v>125</v>
      </c>
      <c r="B898" s="6" t="s">
        <v>10</v>
      </c>
      <c r="C898" s="6">
        <v>11661684</v>
      </c>
      <c r="D898" s="6">
        <v>280993</v>
      </c>
      <c r="E898" s="6">
        <v>8833608</v>
      </c>
      <c r="F898" s="6"/>
      <c r="G898" s="7">
        <f t="shared" si="52"/>
        <v>2547083</v>
      </c>
      <c r="H898" s="12">
        <f t="shared" si="53"/>
        <v>2.4095405089007729</v>
      </c>
      <c r="I898" s="12">
        <f t="shared" si="54"/>
        <v>75.748991312060937</v>
      </c>
      <c r="J898">
        <f t="shared" si="55"/>
        <v>17331</v>
      </c>
      <c r="M898" s="5" t="s">
        <v>125</v>
      </c>
      <c r="N898" s="7">
        <v>2547083</v>
      </c>
    </row>
    <row r="899" spans="1:14" x14ac:dyDescent="0.3">
      <c r="A899" s="5" t="s">
        <v>125</v>
      </c>
      <c r="B899" s="6" t="s">
        <v>10</v>
      </c>
      <c r="C899" s="6">
        <v>11708044</v>
      </c>
      <c r="D899" s="6">
        <v>203293</v>
      </c>
      <c r="E899" s="6">
        <v>8362232</v>
      </c>
      <c r="F899" s="6"/>
      <c r="G899" s="7">
        <f t="shared" ref="G899:G962" si="56" xml:space="preserve"> C899-D899-E899</f>
        <v>3142519</v>
      </c>
      <c r="H899" s="12">
        <f t="shared" ref="H899:H962" si="57">D899/C899*100</f>
        <v>1.7363532286007808</v>
      </c>
      <c r="I899" s="12">
        <f t="shared" ref="I899:I962" si="58">E899/C899*100</f>
        <v>71.422963562487467</v>
      </c>
      <c r="J899">
        <f t="shared" ref="J899:J962" si="59">IF(B899=B898,C899-C898,"")</f>
        <v>46360</v>
      </c>
      <c r="M899" s="5" t="s">
        <v>125</v>
      </c>
      <c r="N899" s="7">
        <v>3142519</v>
      </c>
    </row>
    <row r="900" spans="1:14" x14ac:dyDescent="0.3">
      <c r="A900" s="5" t="s">
        <v>125</v>
      </c>
      <c r="B900" s="6" t="s">
        <v>10</v>
      </c>
      <c r="C900" s="6">
        <v>11751970</v>
      </c>
      <c r="D900" s="6">
        <v>275182</v>
      </c>
      <c r="E900" s="6">
        <v>8950827</v>
      </c>
      <c r="F900" s="6"/>
      <c r="G900" s="7">
        <f t="shared" si="56"/>
        <v>2525961</v>
      </c>
      <c r="H900" s="12">
        <f t="shared" si="57"/>
        <v>2.3415818794636132</v>
      </c>
      <c r="I900" s="12">
        <f t="shared" si="58"/>
        <v>76.164481359295507</v>
      </c>
      <c r="J900">
        <f t="shared" si="59"/>
        <v>43926</v>
      </c>
      <c r="M900" s="5" t="s">
        <v>125</v>
      </c>
      <c r="N900" s="7">
        <v>2525961</v>
      </c>
    </row>
    <row r="901" spans="1:14" x14ac:dyDescent="0.3">
      <c r="A901" s="5" t="s">
        <v>125</v>
      </c>
      <c r="B901" s="6" t="s">
        <v>10</v>
      </c>
      <c r="C901" s="6">
        <v>11768721</v>
      </c>
      <c r="D901" s="6">
        <v>307533</v>
      </c>
      <c r="E901" s="6">
        <v>9283138</v>
      </c>
      <c r="F901" s="6"/>
      <c r="G901" s="7">
        <f t="shared" si="56"/>
        <v>2178050</v>
      </c>
      <c r="H901" s="12">
        <f t="shared" si="57"/>
        <v>2.6131386749673138</v>
      </c>
      <c r="I901" s="12">
        <f t="shared" si="58"/>
        <v>78.87975252365996</v>
      </c>
      <c r="J901">
        <f t="shared" si="59"/>
        <v>16751</v>
      </c>
      <c r="M901" s="5" t="s">
        <v>125</v>
      </c>
      <c r="N901" s="7">
        <v>2178050</v>
      </c>
    </row>
    <row r="902" spans="1:14" x14ac:dyDescent="0.3">
      <c r="A902" s="5" t="s">
        <v>125</v>
      </c>
      <c r="B902" s="6" t="s">
        <v>9</v>
      </c>
      <c r="C902" s="6">
        <v>5812443</v>
      </c>
      <c r="D902" s="6">
        <v>104024</v>
      </c>
      <c r="E902" s="6">
        <v>5111847</v>
      </c>
      <c r="F902" s="6"/>
      <c r="G902" s="7">
        <f t="shared" si="56"/>
        <v>596572</v>
      </c>
      <c r="H902" s="12">
        <f t="shared" si="57"/>
        <v>1.7896777654421727</v>
      </c>
      <c r="I902" s="12">
        <f t="shared" si="58"/>
        <v>87.946617282956581</v>
      </c>
      <c r="J902" t="str">
        <f t="shared" si="59"/>
        <v/>
      </c>
      <c r="M902" s="5" t="s">
        <v>125</v>
      </c>
      <c r="N902" s="7">
        <v>596572</v>
      </c>
    </row>
    <row r="903" spans="1:14" x14ac:dyDescent="0.3">
      <c r="A903" s="5" t="s">
        <v>125</v>
      </c>
      <c r="B903" s="6" t="s">
        <v>9</v>
      </c>
      <c r="C903" s="6">
        <v>5850254</v>
      </c>
      <c r="D903" s="6">
        <v>163558</v>
      </c>
      <c r="E903" s="6">
        <v>5147158</v>
      </c>
      <c r="F903" s="6"/>
      <c r="G903" s="7">
        <f t="shared" si="56"/>
        <v>539538</v>
      </c>
      <c r="H903" s="12">
        <f t="shared" si="57"/>
        <v>2.7957418600970145</v>
      </c>
      <c r="I903" s="12">
        <f t="shared" si="58"/>
        <v>87.981786773702481</v>
      </c>
      <c r="J903">
        <f t="shared" si="59"/>
        <v>37811</v>
      </c>
      <c r="M903" s="5" t="s">
        <v>125</v>
      </c>
      <c r="N903" s="7">
        <v>539538</v>
      </c>
    </row>
    <row r="904" spans="1:14" x14ac:dyDescent="0.3">
      <c r="A904" s="5" t="s">
        <v>125</v>
      </c>
      <c r="B904" s="6" t="s">
        <v>9</v>
      </c>
      <c r="C904" s="6">
        <v>5856680</v>
      </c>
      <c r="D904" s="6">
        <v>78348</v>
      </c>
      <c r="E904" s="6">
        <v>4756464</v>
      </c>
      <c r="F904" s="6"/>
      <c r="G904" s="7">
        <f t="shared" si="56"/>
        <v>1021868</v>
      </c>
      <c r="H904" s="12">
        <f t="shared" si="57"/>
        <v>1.3377544957211254</v>
      </c>
      <c r="I904" s="12">
        <f t="shared" si="58"/>
        <v>81.214339864906393</v>
      </c>
      <c r="J904">
        <f t="shared" si="59"/>
        <v>6426</v>
      </c>
      <c r="M904" s="5" t="s">
        <v>125</v>
      </c>
      <c r="N904" s="7">
        <v>1021868</v>
      </c>
    </row>
    <row r="905" spans="1:14" x14ac:dyDescent="0.3">
      <c r="A905" s="5" t="s">
        <v>125</v>
      </c>
      <c r="B905" s="6" t="s">
        <v>9</v>
      </c>
      <c r="C905" s="6">
        <v>5887080</v>
      </c>
      <c r="D905" s="6">
        <v>172466</v>
      </c>
      <c r="E905" s="6">
        <v>4332645</v>
      </c>
      <c r="F905" s="6"/>
      <c r="G905" s="7">
        <f t="shared" si="56"/>
        <v>1381969</v>
      </c>
      <c r="H905" s="12">
        <f t="shared" si="57"/>
        <v>2.929567799316469</v>
      </c>
      <c r="I905" s="12">
        <f t="shared" si="58"/>
        <v>73.595823396318721</v>
      </c>
      <c r="J905">
        <f t="shared" si="59"/>
        <v>30400</v>
      </c>
      <c r="M905" s="5" t="s">
        <v>125</v>
      </c>
      <c r="N905" s="7">
        <v>1381969</v>
      </c>
    </row>
    <row r="906" spans="1:14" x14ac:dyDescent="0.3">
      <c r="A906" s="5" t="s">
        <v>126</v>
      </c>
      <c r="B906" s="6" t="s">
        <v>9</v>
      </c>
      <c r="C906" s="6">
        <v>5908822</v>
      </c>
      <c r="D906" s="6">
        <v>101744</v>
      </c>
      <c r="E906" s="6">
        <v>4230866</v>
      </c>
      <c r="F906" s="6"/>
      <c r="G906" s="7">
        <f t="shared" si="56"/>
        <v>1576212</v>
      </c>
      <c r="H906" s="12">
        <f t="shared" si="57"/>
        <v>1.7218998981522884</v>
      </c>
      <c r="I906" s="12">
        <f t="shared" si="58"/>
        <v>71.602529235099652</v>
      </c>
      <c r="J906">
        <f t="shared" si="59"/>
        <v>21742</v>
      </c>
      <c r="M906" s="5" t="s">
        <v>126</v>
      </c>
      <c r="N906" s="7">
        <v>1576212</v>
      </c>
    </row>
    <row r="907" spans="1:14" x14ac:dyDescent="0.3">
      <c r="A907" s="5" t="s">
        <v>126</v>
      </c>
      <c r="B907" s="6" t="s">
        <v>9</v>
      </c>
      <c r="C907" s="6">
        <v>5951127</v>
      </c>
      <c r="D907" s="6">
        <v>100189</v>
      </c>
      <c r="E907" s="6">
        <v>4880900</v>
      </c>
      <c r="F907" s="6"/>
      <c r="G907" s="7">
        <f t="shared" si="56"/>
        <v>970038</v>
      </c>
      <c r="H907" s="12">
        <f t="shared" si="57"/>
        <v>1.6835298591342447</v>
      </c>
      <c r="I907" s="12">
        <f t="shared" si="58"/>
        <v>82.016397902447721</v>
      </c>
      <c r="J907">
        <f t="shared" si="59"/>
        <v>42305</v>
      </c>
      <c r="M907" s="5" t="s">
        <v>126</v>
      </c>
      <c r="N907" s="7">
        <v>970038</v>
      </c>
    </row>
    <row r="908" spans="1:14" x14ac:dyDescent="0.3">
      <c r="A908" s="5" t="s">
        <v>126</v>
      </c>
      <c r="B908" s="6" t="s">
        <v>9</v>
      </c>
      <c r="C908" s="6">
        <v>5986938</v>
      </c>
      <c r="D908" s="6">
        <v>133225</v>
      </c>
      <c r="E908" s="6">
        <v>5129435</v>
      </c>
      <c r="F908" s="6"/>
      <c r="G908" s="7">
        <f t="shared" si="56"/>
        <v>724278</v>
      </c>
      <c r="H908" s="12">
        <f t="shared" si="57"/>
        <v>2.2252610599942741</v>
      </c>
      <c r="I908" s="12">
        <f t="shared" si="58"/>
        <v>85.677102385225965</v>
      </c>
      <c r="J908">
        <f t="shared" si="59"/>
        <v>35811</v>
      </c>
      <c r="M908" s="5" t="s">
        <v>126</v>
      </c>
      <c r="N908" s="7">
        <v>724278</v>
      </c>
    </row>
    <row r="909" spans="1:14" x14ac:dyDescent="0.3">
      <c r="A909" s="5" t="s">
        <v>126</v>
      </c>
      <c r="B909" s="6" t="s">
        <v>9</v>
      </c>
      <c r="C909" s="6">
        <v>6019973</v>
      </c>
      <c r="D909" s="6">
        <v>159376</v>
      </c>
      <c r="E909" s="6">
        <v>5338637</v>
      </c>
      <c r="F909" s="6"/>
      <c r="G909" s="7">
        <f t="shared" si="56"/>
        <v>521960</v>
      </c>
      <c r="H909" s="12">
        <f t="shared" si="57"/>
        <v>2.6474537344270481</v>
      </c>
      <c r="I909" s="12">
        <f t="shared" si="58"/>
        <v>88.682075484391703</v>
      </c>
      <c r="J909">
        <f t="shared" si="59"/>
        <v>33035</v>
      </c>
      <c r="M909" s="5" t="s">
        <v>126</v>
      </c>
      <c r="N909" s="7">
        <v>521960</v>
      </c>
    </row>
    <row r="910" spans="1:14" x14ac:dyDescent="0.3">
      <c r="A910" s="5" t="s">
        <v>126</v>
      </c>
      <c r="B910" s="6" t="s">
        <v>9</v>
      </c>
      <c r="C910" s="6">
        <v>6031222</v>
      </c>
      <c r="D910" s="6">
        <v>124350</v>
      </c>
      <c r="E910" s="6">
        <v>5090111</v>
      </c>
      <c r="F910" s="6"/>
      <c r="G910" s="7">
        <f t="shared" si="56"/>
        <v>816761</v>
      </c>
      <c r="H910" s="12">
        <f t="shared" si="57"/>
        <v>2.0617712297773152</v>
      </c>
      <c r="I910" s="12">
        <f t="shared" si="58"/>
        <v>84.396014605332056</v>
      </c>
      <c r="J910">
        <f t="shared" si="59"/>
        <v>11249</v>
      </c>
      <c r="M910" s="5" t="s">
        <v>126</v>
      </c>
      <c r="N910" s="7">
        <v>816761</v>
      </c>
    </row>
    <row r="911" spans="1:14" x14ac:dyDescent="0.3">
      <c r="A911" s="5" t="s">
        <v>126</v>
      </c>
      <c r="B911" s="6" t="s">
        <v>9</v>
      </c>
      <c r="C911" s="6">
        <v>6065357</v>
      </c>
      <c r="D911" s="6">
        <v>164927</v>
      </c>
      <c r="E911" s="6">
        <v>5205523</v>
      </c>
      <c r="F911" s="6"/>
      <c r="G911" s="7">
        <f t="shared" si="56"/>
        <v>694907</v>
      </c>
      <c r="H911" s="12">
        <f t="shared" si="57"/>
        <v>2.7191639337964775</v>
      </c>
      <c r="I911" s="12">
        <f t="shared" si="58"/>
        <v>85.823851753491169</v>
      </c>
      <c r="J911">
        <f t="shared" si="59"/>
        <v>34135</v>
      </c>
      <c r="M911" s="5" t="s">
        <v>126</v>
      </c>
      <c r="N911" s="7">
        <v>694907</v>
      </c>
    </row>
    <row r="912" spans="1:14" x14ac:dyDescent="0.3">
      <c r="A912" s="5" t="s">
        <v>126</v>
      </c>
      <c r="B912" s="6" t="s">
        <v>9</v>
      </c>
      <c r="C912" s="6">
        <v>6105060</v>
      </c>
      <c r="D912" s="6">
        <v>111767</v>
      </c>
      <c r="E912" s="6">
        <v>4676770</v>
      </c>
      <c r="F912" s="6"/>
      <c r="G912" s="7">
        <f t="shared" si="56"/>
        <v>1316523</v>
      </c>
      <c r="H912" s="12">
        <f t="shared" si="57"/>
        <v>1.8307272983394101</v>
      </c>
      <c r="I912" s="12">
        <f t="shared" si="58"/>
        <v>76.604816332681409</v>
      </c>
      <c r="J912">
        <f t="shared" si="59"/>
        <v>39703</v>
      </c>
      <c r="M912" s="5" t="s">
        <v>126</v>
      </c>
      <c r="N912" s="7">
        <v>1316523</v>
      </c>
    </row>
    <row r="913" spans="1:14" x14ac:dyDescent="0.3">
      <c r="A913" s="5" t="s">
        <v>126</v>
      </c>
      <c r="B913" s="6" t="s">
        <v>9</v>
      </c>
      <c r="C913" s="6">
        <v>6152637</v>
      </c>
      <c r="D913" s="6">
        <v>63054</v>
      </c>
      <c r="E913" s="6">
        <v>5216299</v>
      </c>
      <c r="F913" s="6"/>
      <c r="G913" s="7">
        <f t="shared" si="56"/>
        <v>873284</v>
      </c>
      <c r="H913" s="12">
        <f t="shared" si="57"/>
        <v>1.0248288660618203</v>
      </c>
      <c r="I913" s="12">
        <f t="shared" si="58"/>
        <v>84.781517258372304</v>
      </c>
      <c r="J913">
        <f t="shared" si="59"/>
        <v>47577</v>
      </c>
      <c r="M913" s="5" t="s">
        <v>126</v>
      </c>
      <c r="N913" s="7">
        <v>873284</v>
      </c>
    </row>
    <row r="914" spans="1:14" x14ac:dyDescent="0.3">
      <c r="A914" s="5" t="s">
        <v>127</v>
      </c>
      <c r="B914" s="6" t="s">
        <v>9</v>
      </c>
      <c r="C914" s="6">
        <v>6166514</v>
      </c>
      <c r="D914" s="6">
        <v>96548</v>
      </c>
      <c r="E914" s="6">
        <v>5459413</v>
      </c>
      <c r="F914" s="6"/>
      <c r="G914" s="7">
        <f t="shared" si="56"/>
        <v>610553</v>
      </c>
      <c r="H914" s="12">
        <f t="shared" si="57"/>
        <v>1.5656820044517861</v>
      </c>
      <c r="I914" s="12">
        <f t="shared" si="58"/>
        <v>88.533213416851069</v>
      </c>
      <c r="J914">
        <f t="shared" si="59"/>
        <v>13877</v>
      </c>
      <c r="M914" s="5" t="s">
        <v>127</v>
      </c>
      <c r="N914" s="7">
        <v>610553</v>
      </c>
    </row>
    <row r="915" spans="1:14" x14ac:dyDescent="0.3">
      <c r="A915" s="5" t="s">
        <v>127</v>
      </c>
      <c r="B915" s="6" t="s">
        <v>9</v>
      </c>
      <c r="C915" s="6">
        <v>6201402</v>
      </c>
      <c r="D915" s="6">
        <v>119117</v>
      </c>
      <c r="E915" s="6">
        <v>5477180</v>
      </c>
      <c r="F915" s="6"/>
      <c r="G915" s="7">
        <f t="shared" si="56"/>
        <v>605105</v>
      </c>
      <c r="H915" s="12">
        <f t="shared" si="57"/>
        <v>1.9208075851234931</v>
      </c>
      <c r="I915" s="12">
        <f t="shared" si="58"/>
        <v>88.321640816060636</v>
      </c>
      <c r="J915">
        <f t="shared" si="59"/>
        <v>34888</v>
      </c>
      <c r="M915" s="5" t="s">
        <v>127</v>
      </c>
      <c r="N915" s="7">
        <v>605105</v>
      </c>
    </row>
    <row r="916" spans="1:14" x14ac:dyDescent="0.3">
      <c r="A916" s="5" t="s">
        <v>127</v>
      </c>
      <c r="B916" s="6" t="s">
        <v>9</v>
      </c>
      <c r="C916" s="6">
        <v>6247512</v>
      </c>
      <c r="D916" s="6">
        <v>100120</v>
      </c>
      <c r="E916" s="6">
        <v>4907715</v>
      </c>
      <c r="F916" s="6"/>
      <c r="G916" s="7">
        <f t="shared" si="56"/>
        <v>1239677</v>
      </c>
      <c r="H916" s="12">
        <f t="shared" si="57"/>
        <v>1.6025579462672499</v>
      </c>
      <c r="I916" s="12">
        <f t="shared" si="58"/>
        <v>78.554711059378519</v>
      </c>
      <c r="J916">
        <f t="shared" si="59"/>
        <v>46110</v>
      </c>
      <c r="M916" s="5" t="s">
        <v>127</v>
      </c>
      <c r="N916" s="7">
        <v>1239677</v>
      </c>
    </row>
    <row r="917" spans="1:14" x14ac:dyDescent="0.3">
      <c r="A917" s="5" t="s">
        <v>127</v>
      </c>
      <c r="B917" s="6" t="s">
        <v>9</v>
      </c>
      <c r="C917" s="6">
        <v>6278147</v>
      </c>
      <c r="D917" s="6">
        <v>73706</v>
      </c>
      <c r="E917" s="6">
        <v>5263904</v>
      </c>
      <c r="F917" s="6"/>
      <c r="G917" s="7">
        <f t="shared" si="56"/>
        <v>940537</v>
      </c>
      <c r="H917" s="12">
        <f t="shared" si="57"/>
        <v>1.1740088277639882</v>
      </c>
      <c r="I917" s="12">
        <f t="shared" si="58"/>
        <v>83.844866964727018</v>
      </c>
      <c r="J917">
        <f t="shared" si="59"/>
        <v>30635</v>
      </c>
      <c r="M917" s="5" t="s">
        <v>127</v>
      </c>
      <c r="N917" s="7">
        <v>940537</v>
      </c>
    </row>
    <row r="918" spans="1:14" x14ac:dyDescent="0.3">
      <c r="A918" s="5" t="s">
        <v>127</v>
      </c>
      <c r="B918" s="6" t="s">
        <v>9</v>
      </c>
      <c r="C918" s="6">
        <v>6308118</v>
      </c>
      <c r="D918" s="6">
        <v>89999</v>
      </c>
      <c r="E918" s="6">
        <v>5579209</v>
      </c>
      <c r="F918" s="6"/>
      <c r="G918" s="7">
        <f t="shared" si="56"/>
        <v>638910</v>
      </c>
      <c r="H918" s="12">
        <f t="shared" si="57"/>
        <v>1.4267171286269535</v>
      </c>
      <c r="I918" s="12">
        <f t="shared" si="58"/>
        <v>88.444905437723264</v>
      </c>
      <c r="J918">
        <f t="shared" si="59"/>
        <v>29971</v>
      </c>
      <c r="M918" s="5" t="s">
        <v>127</v>
      </c>
      <c r="N918" s="7">
        <v>638910</v>
      </c>
    </row>
    <row r="919" spans="1:14" x14ac:dyDescent="0.3">
      <c r="A919" s="5" t="s">
        <v>127</v>
      </c>
      <c r="B919" s="6" t="s">
        <v>9</v>
      </c>
      <c r="C919" s="6">
        <v>6320305</v>
      </c>
      <c r="D919" s="6">
        <v>164417</v>
      </c>
      <c r="E919" s="6">
        <v>4490021</v>
      </c>
      <c r="F919" s="6"/>
      <c r="G919" s="7">
        <f t="shared" si="56"/>
        <v>1665867</v>
      </c>
      <c r="H919" s="12">
        <f t="shared" si="57"/>
        <v>2.6014092674325053</v>
      </c>
      <c r="I919" s="12">
        <f t="shared" si="58"/>
        <v>71.04120766323777</v>
      </c>
      <c r="J919">
        <f t="shared" si="59"/>
        <v>12187</v>
      </c>
      <c r="M919" s="5" t="s">
        <v>127</v>
      </c>
      <c r="N919" s="7">
        <v>1665867</v>
      </c>
    </row>
    <row r="920" spans="1:14" x14ac:dyDescent="0.3">
      <c r="A920" s="5" t="s">
        <v>127</v>
      </c>
      <c r="B920" s="6" t="s">
        <v>9</v>
      </c>
      <c r="C920" s="6">
        <v>6349941</v>
      </c>
      <c r="D920" s="6">
        <v>114883</v>
      </c>
      <c r="E920" s="6">
        <v>5270991</v>
      </c>
      <c r="F920" s="6"/>
      <c r="G920" s="7">
        <f t="shared" si="56"/>
        <v>964067</v>
      </c>
      <c r="H920" s="12">
        <f t="shared" si="57"/>
        <v>1.8091979122325703</v>
      </c>
      <c r="I920" s="12">
        <f t="shared" si="58"/>
        <v>83.008503543576225</v>
      </c>
      <c r="J920">
        <f t="shared" si="59"/>
        <v>29636</v>
      </c>
      <c r="M920" s="5" t="s">
        <v>127</v>
      </c>
      <c r="N920" s="7">
        <v>964067</v>
      </c>
    </row>
    <row r="921" spans="1:14" x14ac:dyDescent="0.3">
      <c r="A921" s="5" t="s">
        <v>127</v>
      </c>
      <c r="B921" s="6" t="s">
        <v>9</v>
      </c>
      <c r="C921" s="6">
        <v>6396076</v>
      </c>
      <c r="D921" s="6">
        <v>145182</v>
      </c>
      <c r="E921" s="6">
        <v>4671087</v>
      </c>
      <c r="F921" s="6"/>
      <c r="G921" s="7">
        <f t="shared" si="56"/>
        <v>1579807</v>
      </c>
      <c r="H921" s="12">
        <f t="shared" si="57"/>
        <v>2.2698604581934299</v>
      </c>
      <c r="I921" s="12">
        <f t="shared" si="58"/>
        <v>73.030511207183906</v>
      </c>
      <c r="J921">
        <f t="shared" si="59"/>
        <v>46135</v>
      </c>
      <c r="M921" s="5" t="s">
        <v>127</v>
      </c>
      <c r="N921" s="7">
        <v>1579807</v>
      </c>
    </row>
    <row r="922" spans="1:14" x14ac:dyDescent="0.3">
      <c r="A922" s="5" t="s">
        <v>128</v>
      </c>
      <c r="B922" s="6" t="s">
        <v>9</v>
      </c>
      <c r="C922" s="6">
        <v>6412145</v>
      </c>
      <c r="D922" s="6">
        <v>87984</v>
      </c>
      <c r="E922" s="6">
        <v>4814368</v>
      </c>
      <c r="F922" s="6"/>
      <c r="G922" s="7">
        <f t="shared" si="56"/>
        <v>1509793</v>
      </c>
      <c r="H922" s="12">
        <f t="shared" si="57"/>
        <v>1.3721461383047326</v>
      </c>
      <c r="I922" s="12">
        <f t="shared" si="58"/>
        <v>75.082020135227751</v>
      </c>
      <c r="J922">
        <f t="shared" si="59"/>
        <v>16069</v>
      </c>
      <c r="M922" s="5" t="s">
        <v>128</v>
      </c>
      <c r="N922" s="7">
        <v>1509793</v>
      </c>
    </row>
    <row r="923" spans="1:14" x14ac:dyDescent="0.3">
      <c r="A923" s="5" t="s">
        <v>128</v>
      </c>
      <c r="B923" s="6" t="s">
        <v>9</v>
      </c>
      <c r="C923" s="6">
        <v>6453793</v>
      </c>
      <c r="D923" s="6">
        <v>104876</v>
      </c>
      <c r="E923" s="6">
        <v>4865939</v>
      </c>
      <c r="F923" s="6"/>
      <c r="G923" s="7">
        <f t="shared" si="56"/>
        <v>1482978</v>
      </c>
      <c r="H923" s="12">
        <f t="shared" si="57"/>
        <v>1.625028878366567</v>
      </c>
      <c r="I923" s="12">
        <f t="shared" si="58"/>
        <v>75.39657686572842</v>
      </c>
      <c r="J923">
        <f t="shared" si="59"/>
        <v>41648</v>
      </c>
      <c r="M923" s="5" t="s">
        <v>128</v>
      </c>
      <c r="N923" s="7">
        <v>1482978</v>
      </c>
    </row>
    <row r="924" spans="1:14" x14ac:dyDescent="0.3">
      <c r="A924" s="5" t="s">
        <v>128</v>
      </c>
      <c r="B924" s="6" t="s">
        <v>9</v>
      </c>
      <c r="C924" s="6">
        <v>6473755</v>
      </c>
      <c r="D924" s="6">
        <v>107075</v>
      </c>
      <c r="E924" s="6">
        <v>5614401</v>
      </c>
      <c r="F924" s="6"/>
      <c r="G924" s="7">
        <f t="shared" si="56"/>
        <v>752279</v>
      </c>
      <c r="H924" s="12">
        <f t="shared" si="57"/>
        <v>1.6539859787712077</v>
      </c>
      <c r="I924" s="12">
        <f t="shared" si="58"/>
        <v>86.725571171599796</v>
      </c>
      <c r="J924">
        <f t="shared" si="59"/>
        <v>19962</v>
      </c>
      <c r="M924" s="5" t="s">
        <v>128</v>
      </c>
      <c r="N924" s="7">
        <v>752279</v>
      </c>
    </row>
    <row r="925" spans="1:14" x14ac:dyDescent="0.3">
      <c r="A925" s="5" t="s">
        <v>128</v>
      </c>
      <c r="B925" s="6" t="s">
        <v>9</v>
      </c>
      <c r="C925" s="6">
        <v>6482981</v>
      </c>
      <c r="D925" s="6">
        <v>135076</v>
      </c>
      <c r="E925" s="6">
        <v>4738681</v>
      </c>
      <c r="F925" s="6"/>
      <c r="G925" s="7">
        <f t="shared" si="56"/>
        <v>1609224</v>
      </c>
      <c r="H925" s="12">
        <f t="shared" si="57"/>
        <v>2.0835476766012424</v>
      </c>
      <c r="I925" s="12">
        <f t="shared" si="58"/>
        <v>73.094167636770806</v>
      </c>
      <c r="J925">
        <f t="shared" si="59"/>
        <v>9226</v>
      </c>
      <c r="M925" s="5" t="s">
        <v>128</v>
      </c>
      <c r="N925" s="7">
        <v>1609224</v>
      </c>
    </row>
    <row r="926" spans="1:14" x14ac:dyDescent="0.3">
      <c r="A926" s="5" t="s">
        <v>128</v>
      </c>
      <c r="B926" s="6" t="s">
        <v>9</v>
      </c>
      <c r="C926" s="6">
        <v>6503595</v>
      </c>
      <c r="D926" s="6">
        <v>128078</v>
      </c>
      <c r="E926" s="6">
        <v>4640175</v>
      </c>
      <c r="F926" s="6"/>
      <c r="G926" s="7">
        <f t="shared" si="56"/>
        <v>1735342</v>
      </c>
      <c r="H926" s="12">
        <f t="shared" si="57"/>
        <v>1.9693415718537208</v>
      </c>
      <c r="I926" s="12">
        <f t="shared" si="58"/>
        <v>71.347846844706666</v>
      </c>
      <c r="J926">
        <f t="shared" si="59"/>
        <v>20614</v>
      </c>
      <c r="M926" s="5" t="s">
        <v>128</v>
      </c>
      <c r="N926" s="7">
        <v>1735342</v>
      </c>
    </row>
    <row r="927" spans="1:14" x14ac:dyDescent="0.3">
      <c r="A927" s="5" t="s">
        <v>128</v>
      </c>
      <c r="B927" s="6" t="s">
        <v>9</v>
      </c>
      <c r="C927" s="6">
        <v>6538910</v>
      </c>
      <c r="D927" s="6">
        <v>122476</v>
      </c>
      <c r="E927" s="6">
        <v>5196410</v>
      </c>
      <c r="F927" s="6"/>
      <c r="G927" s="7">
        <f t="shared" si="56"/>
        <v>1220024</v>
      </c>
      <c r="H927" s="12">
        <f t="shared" si="57"/>
        <v>1.8730338848523684</v>
      </c>
      <c r="I927" s="12">
        <f t="shared" si="58"/>
        <v>79.469055240093539</v>
      </c>
      <c r="J927">
        <f t="shared" si="59"/>
        <v>35315</v>
      </c>
      <c r="M927" s="5" t="s">
        <v>128</v>
      </c>
      <c r="N927" s="7">
        <v>1220024</v>
      </c>
    </row>
    <row r="928" spans="1:14" x14ac:dyDescent="0.3">
      <c r="A928" s="5" t="s">
        <v>128</v>
      </c>
      <c r="B928" s="6" t="s">
        <v>9</v>
      </c>
      <c r="C928" s="6">
        <v>6576412</v>
      </c>
      <c r="D928" s="6">
        <v>142544</v>
      </c>
      <c r="E928" s="6">
        <v>5482696</v>
      </c>
      <c r="F928" s="6"/>
      <c r="G928" s="7">
        <f t="shared" si="56"/>
        <v>951172</v>
      </c>
      <c r="H928" s="12">
        <f t="shared" si="57"/>
        <v>2.167504104061607</v>
      </c>
      <c r="I928" s="12">
        <f t="shared" si="58"/>
        <v>83.369107653230969</v>
      </c>
      <c r="J928">
        <f t="shared" si="59"/>
        <v>37502</v>
      </c>
      <c r="M928" s="5" t="s">
        <v>128</v>
      </c>
      <c r="N928" s="7">
        <v>951172</v>
      </c>
    </row>
    <row r="929" spans="1:14" x14ac:dyDescent="0.3">
      <c r="A929" s="5" t="s">
        <v>128</v>
      </c>
      <c r="B929" s="6" t="s">
        <v>9</v>
      </c>
      <c r="C929" s="6">
        <v>6618947</v>
      </c>
      <c r="D929" s="6">
        <v>73012</v>
      </c>
      <c r="E929" s="6">
        <v>4998682</v>
      </c>
      <c r="F929" s="6"/>
      <c r="G929" s="7">
        <f t="shared" si="56"/>
        <v>1547253</v>
      </c>
      <c r="H929" s="12">
        <f t="shared" si="57"/>
        <v>1.1030757611444841</v>
      </c>
      <c r="I929" s="12">
        <f t="shared" si="58"/>
        <v>75.520804139993871</v>
      </c>
      <c r="J929">
        <f t="shared" si="59"/>
        <v>42535</v>
      </c>
      <c r="M929" s="5" t="s">
        <v>128</v>
      </c>
      <c r="N929" s="7">
        <v>1547253</v>
      </c>
    </row>
    <row r="930" spans="1:14" x14ac:dyDescent="0.3">
      <c r="A930" s="5" t="s">
        <v>129</v>
      </c>
      <c r="B930" s="6" t="s">
        <v>9</v>
      </c>
      <c r="C930" s="6">
        <v>6637434</v>
      </c>
      <c r="D930" s="6">
        <v>184953</v>
      </c>
      <c r="E930" s="6">
        <v>5263720</v>
      </c>
      <c r="F930" s="6"/>
      <c r="G930" s="7">
        <f t="shared" si="56"/>
        <v>1188761</v>
      </c>
      <c r="H930" s="12">
        <f t="shared" si="57"/>
        <v>2.786513583411903</v>
      </c>
      <c r="I930" s="12">
        <f t="shared" si="58"/>
        <v>79.30353808414516</v>
      </c>
      <c r="J930">
        <f t="shared" si="59"/>
        <v>18487</v>
      </c>
      <c r="M930" s="5" t="s">
        <v>129</v>
      </c>
      <c r="N930" s="7">
        <v>1188761</v>
      </c>
    </row>
    <row r="931" spans="1:14" x14ac:dyDescent="0.3">
      <c r="A931" s="5" t="s">
        <v>129</v>
      </c>
      <c r="B931" s="6" t="s">
        <v>9</v>
      </c>
      <c r="C931" s="6">
        <v>6669049</v>
      </c>
      <c r="D931" s="6">
        <v>129171</v>
      </c>
      <c r="E931" s="6">
        <v>4915190</v>
      </c>
      <c r="F931" s="6"/>
      <c r="G931" s="7">
        <f t="shared" si="56"/>
        <v>1624688</v>
      </c>
      <c r="H931" s="12">
        <f t="shared" si="57"/>
        <v>1.9368728584840205</v>
      </c>
      <c r="I931" s="12">
        <f t="shared" si="58"/>
        <v>73.701512764413636</v>
      </c>
      <c r="J931">
        <f t="shared" si="59"/>
        <v>31615</v>
      </c>
      <c r="M931" s="5" t="s">
        <v>129</v>
      </c>
      <c r="N931" s="7">
        <v>1624688</v>
      </c>
    </row>
    <row r="932" spans="1:14" x14ac:dyDescent="0.3">
      <c r="A932" s="5" t="s">
        <v>129</v>
      </c>
      <c r="B932" s="6" t="s">
        <v>9</v>
      </c>
      <c r="C932" s="6">
        <v>6706338</v>
      </c>
      <c r="D932" s="6">
        <v>135734</v>
      </c>
      <c r="E932" s="6">
        <v>4889766</v>
      </c>
      <c r="F932" s="6"/>
      <c r="G932" s="7">
        <f t="shared" si="56"/>
        <v>1680838</v>
      </c>
      <c r="H932" s="12">
        <f t="shared" si="57"/>
        <v>2.0239659856094336</v>
      </c>
      <c r="I932" s="12">
        <f t="shared" si="58"/>
        <v>72.912608937992687</v>
      </c>
      <c r="J932">
        <f t="shared" si="59"/>
        <v>37289</v>
      </c>
      <c r="M932" s="5" t="s">
        <v>129</v>
      </c>
      <c r="N932" s="7">
        <v>1680838</v>
      </c>
    </row>
    <row r="933" spans="1:14" x14ac:dyDescent="0.3">
      <c r="A933" s="5" t="s">
        <v>129</v>
      </c>
      <c r="B933" s="6" t="s">
        <v>9</v>
      </c>
      <c r="C933" s="6">
        <v>6751441</v>
      </c>
      <c r="D933" s="6">
        <v>177045</v>
      </c>
      <c r="E933" s="6">
        <v>5305837</v>
      </c>
      <c r="F933" s="6"/>
      <c r="G933" s="7">
        <f t="shared" si="56"/>
        <v>1268559</v>
      </c>
      <c r="H933" s="12">
        <f t="shared" si="57"/>
        <v>2.622329070194052</v>
      </c>
      <c r="I933" s="12">
        <f t="shared" si="58"/>
        <v>78.588215463928364</v>
      </c>
      <c r="J933">
        <f t="shared" si="59"/>
        <v>45103</v>
      </c>
      <c r="M933" s="5" t="s">
        <v>129</v>
      </c>
      <c r="N933" s="7">
        <v>1268559</v>
      </c>
    </row>
    <row r="934" spans="1:14" x14ac:dyDescent="0.3">
      <c r="A934" s="5" t="s">
        <v>129</v>
      </c>
      <c r="B934" s="6" t="s">
        <v>9</v>
      </c>
      <c r="C934" s="6">
        <v>6770578</v>
      </c>
      <c r="D934" s="6">
        <v>120492</v>
      </c>
      <c r="E934" s="6">
        <v>5660043</v>
      </c>
      <c r="F934" s="6"/>
      <c r="G934" s="7">
        <f t="shared" si="56"/>
        <v>990043</v>
      </c>
      <c r="H934" s="12">
        <f t="shared" si="57"/>
        <v>1.7796412654872302</v>
      </c>
      <c r="I934" s="12">
        <f t="shared" si="58"/>
        <v>83.597633761844264</v>
      </c>
      <c r="J934">
        <f t="shared" si="59"/>
        <v>19137</v>
      </c>
      <c r="M934" s="5" t="s">
        <v>129</v>
      </c>
      <c r="N934" s="7">
        <v>990043</v>
      </c>
    </row>
    <row r="935" spans="1:14" x14ac:dyDescent="0.3">
      <c r="A935" s="5" t="s">
        <v>129</v>
      </c>
      <c r="B935" s="6" t="s">
        <v>9</v>
      </c>
      <c r="C935" s="6">
        <v>6804946</v>
      </c>
      <c r="D935" s="6">
        <v>197253</v>
      </c>
      <c r="E935" s="6">
        <v>5324401</v>
      </c>
      <c r="F935" s="6"/>
      <c r="G935" s="7">
        <f t="shared" si="56"/>
        <v>1283292</v>
      </c>
      <c r="H935" s="12">
        <f t="shared" si="57"/>
        <v>2.8986710548474592</v>
      </c>
      <c r="I935" s="12">
        <f t="shared" si="58"/>
        <v>78.243104353803844</v>
      </c>
      <c r="J935">
        <f t="shared" si="59"/>
        <v>34368</v>
      </c>
      <c r="M935" s="5" t="s">
        <v>129</v>
      </c>
      <c r="N935" s="7">
        <v>1283292</v>
      </c>
    </row>
    <row r="936" spans="1:14" x14ac:dyDescent="0.3">
      <c r="A936" s="5" t="s">
        <v>129</v>
      </c>
      <c r="B936" s="6" t="s">
        <v>9</v>
      </c>
      <c r="C936" s="6">
        <v>6854035</v>
      </c>
      <c r="D936" s="6">
        <v>155778</v>
      </c>
      <c r="E936" s="6">
        <v>5299743</v>
      </c>
      <c r="F936" s="6"/>
      <c r="G936" s="7">
        <f t="shared" si="56"/>
        <v>1398514</v>
      </c>
      <c r="H936" s="12">
        <f t="shared" si="57"/>
        <v>2.2727925958942432</v>
      </c>
      <c r="I936" s="12">
        <f t="shared" si="58"/>
        <v>77.32296377243479</v>
      </c>
      <c r="J936">
        <f t="shared" si="59"/>
        <v>49089</v>
      </c>
      <c r="M936" s="5" t="s">
        <v>129</v>
      </c>
      <c r="N936" s="7">
        <v>1398514</v>
      </c>
    </row>
    <row r="937" spans="1:14" x14ac:dyDescent="0.3">
      <c r="A937" s="5" t="s">
        <v>129</v>
      </c>
      <c r="B937" s="6" t="s">
        <v>9</v>
      </c>
      <c r="C937" s="6">
        <v>6860079</v>
      </c>
      <c r="D937" s="6">
        <v>182632</v>
      </c>
      <c r="E937" s="6">
        <v>5625595</v>
      </c>
      <c r="F937" s="6"/>
      <c r="G937" s="7">
        <f t="shared" si="56"/>
        <v>1051852</v>
      </c>
      <c r="H937" s="12">
        <f t="shared" si="57"/>
        <v>2.6622433939900692</v>
      </c>
      <c r="I937" s="12">
        <f t="shared" si="58"/>
        <v>82.004813647189778</v>
      </c>
      <c r="J937">
        <f t="shared" si="59"/>
        <v>6044</v>
      </c>
      <c r="M937" s="5" t="s">
        <v>129</v>
      </c>
      <c r="N937" s="7">
        <v>1051852</v>
      </c>
    </row>
    <row r="938" spans="1:14" x14ac:dyDescent="0.3">
      <c r="A938" s="5" t="s">
        <v>130</v>
      </c>
      <c r="B938" s="6" t="s">
        <v>9</v>
      </c>
      <c r="C938" s="6">
        <v>6865093</v>
      </c>
      <c r="D938" s="6">
        <v>156163</v>
      </c>
      <c r="E938" s="6">
        <v>5371710</v>
      </c>
      <c r="F938" s="6"/>
      <c r="G938" s="7">
        <f t="shared" si="56"/>
        <v>1337220</v>
      </c>
      <c r="H938" s="12">
        <f t="shared" si="57"/>
        <v>2.2747397595342118</v>
      </c>
      <c r="I938" s="12">
        <f t="shared" si="58"/>
        <v>78.246718580505757</v>
      </c>
      <c r="J938">
        <f t="shared" si="59"/>
        <v>5014</v>
      </c>
      <c r="M938" s="5" t="s">
        <v>130</v>
      </c>
      <c r="N938" s="7">
        <v>1337220</v>
      </c>
    </row>
    <row r="939" spans="1:14" x14ac:dyDescent="0.3">
      <c r="A939" s="5" t="s">
        <v>130</v>
      </c>
      <c r="B939" s="6" t="s">
        <v>9</v>
      </c>
      <c r="C939" s="6">
        <v>6884448</v>
      </c>
      <c r="D939" s="6">
        <v>103507</v>
      </c>
      <c r="E939" s="6">
        <v>5924156</v>
      </c>
      <c r="F939" s="6"/>
      <c r="G939" s="7">
        <f t="shared" si="56"/>
        <v>856785</v>
      </c>
      <c r="H939" s="12">
        <f t="shared" si="57"/>
        <v>1.5034901854150109</v>
      </c>
      <c r="I939" s="12">
        <f t="shared" si="58"/>
        <v>86.051285448012678</v>
      </c>
      <c r="J939">
        <f t="shared" si="59"/>
        <v>19355</v>
      </c>
      <c r="M939" s="5" t="s">
        <v>130</v>
      </c>
      <c r="N939" s="7">
        <v>856785</v>
      </c>
    </row>
    <row r="940" spans="1:14" x14ac:dyDescent="0.3">
      <c r="A940" s="5" t="s">
        <v>130</v>
      </c>
      <c r="B940" s="6" t="s">
        <v>9</v>
      </c>
      <c r="C940" s="6">
        <v>6900813</v>
      </c>
      <c r="D940" s="6">
        <v>170347</v>
      </c>
      <c r="E940" s="6">
        <v>4946422</v>
      </c>
      <c r="F940" s="6"/>
      <c r="G940" s="7">
        <f t="shared" si="56"/>
        <v>1784044</v>
      </c>
      <c r="H940" s="12">
        <f t="shared" si="57"/>
        <v>2.4685062470175616</v>
      </c>
      <c r="I940" s="12">
        <f t="shared" si="58"/>
        <v>71.678829726294566</v>
      </c>
      <c r="J940">
        <f t="shared" si="59"/>
        <v>16365</v>
      </c>
      <c r="M940" s="5" t="s">
        <v>130</v>
      </c>
      <c r="N940" s="7">
        <v>1784044</v>
      </c>
    </row>
    <row r="941" spans="1:14" x14ac:dyDescent="0.3">
      <c r="A941" s="5" t="s">
        <v>130</v>
      </c>
      <c r="B941" s="6" t="s">
        <v>9</v>
      </c>
      <c r="C941" s="6">
        <v>6938738</v>
      </c>
      <c r="D941" s="6">
        <v>182960</v>
      </c>
      <c r="E941" s="6">
        <v>5771144</v>
      </c>
      <c r="F941" s="6"/>
      <c r="G941" s="7">
        <f t="shared" si="56"/>
        <v>984634</v>
      </c>
      <c r="H941" s="12">
        <f t="shared" si="57"/>
        <v>2.6367907247686828</v>
      </c>
      <c r="I941" s="12">
        <f t="shared" si="58"/>
        <v>83.172819034239367</v>
      </c>
      <c r="J941">
        <f t="shared" si="59"/>
        <v>37925</v>
      </c>
      <c r="M941" s="5" t="s">
        <v>130</v>
      </c>
      <c r="N941" s="7">
        <v>984634</v>
      </c>
    </row>
    <row r="942" spans="1:14" x14ac:dyDescent="0.3">
      <c r="A942" s="5" t="s">
        <v>130</v>
      </c>
      <c r="B942" s="6" t="s">
        <v>9</v>
      </c>
      <c r="C942" s="6">
        <v>6962310</v>
      </c>
      <c r="D942" s="6">
        <v>93599</v>
      </c>
      <c r="E942" s="6">
        <v>6080256</v>
      </c>
      <c r="F942" s="6"/>
      <c r="G942" s="7">
        <f t="shared" si="56"/>
        <v>788455</v>
      </c>
      <c r="H942" s="12">
        <f t="shared" si="57"/>
        <v>1.3443670276100892</v>
      </c>
      <c r="I942" s="12">
        <f t="shared" si="58"/>
        <v>87.331015137217392</v>
      </c>
      <c r="J942">
        <f t="shared" si="59"/>
        <v>23572</v>
      </c>
      <c r="M942" s="5" t="s">
        <v>130</v>
      </c>
      <c r="N942" s="7">
        <v>788455</v>
      </c>
    </row>
    <row r="943" spans="1:14" x14ac:dyDescent="0.3">
      <c r="A943" s="5" t="s">
        <v>130</v>
      </c>
      <c r="B943" s="6" t="s">
        <v>9</v>
      </c>
      <c r="C943" s="6">
        <v>6965344</v>
      </c>
      <c r="D943" s="6">
        <v>179633</v>
      </c>
      <c r="E943" s="6">
        <v>5913632</v>
      </c>
      <c r="F943" s="6"/>
      <c r="G943" s="7">
        <f t="shared" si="56"/>
        <v>872079</v>
      </c>
      <c r="H943" s="12">
        <f t="shared" si="57"/>
        <v>2.5789537458595011</v>
      </c>
      <c r="I943" s="12">
        <f t="shared" si="58"/>
        <v>84.900788819618953</v>
      </c>
      <c r="J943">
        <f t="shared" si="59"/>
        <v>3034</v>
      </c>
      <c r="M943" s="5" t="s">
        <v>130</v>
      </c>
      <c r="N943" s="7">
        <v>872079</v>
      </c>
    </row>
    <row r="944" spans="1:14" x14ac:dyDescent="0.3">
      <c r="A944" s="5" t="s">
        <v>130</v>
      </c>
      <c r="B944" s="6" t="s">
        <v>9</v>
      </c>
      <c r="C944" s="6">
        <v>7013110</v>
      </c>
      <c r="D944" s="6">
        <v>197931</v>
      </c>
      <c r="E944" s="6">
        <v>5463357</v>
      </c>
      <c r="F944" s="6"/>
      <c r="G944" s="7">
        <f t="shared" si="56"/>
        <v>1351822</v>
      </c>
      <c r="H944" s="12">
        <f t="shared" si="57"/>
        <v>2.8222999496656973</v>
      </c>
      <c r="I944" s="12">
        <f t="shared" si="58"/>
        <v>77.902057717617438</v>
      </c>
      <c r="J944">
        <f t="shared" si="59"/>
        <v>47766</v>
      </c>
      <c r="M944" s="5" t="s">
        <v>130</v>
      </c>
      <c r="N944" s="7">
        <v>1351822</v>
      </c>
    </row>
    <row r="945" spans="1:14" x14ac:dyDescent="0.3">
      <c r="A945" s="5" t="s">
        <v>130</v>
      </c>
      <c r="B945" s="6" t="s">
        <v>9</v>
      </c>
      <c r="C945" s="6">
        <v>7019347</v>
      </c>
      <c r="D945" s="6">
        <v>206067</v>
      </c>
      <c r="E945" s="6">
        <v>5983022</v>
      </c>
      <c r="F945" s="6"/>
      <c r="G945" s="7">
        <f t="shared" si="56"/>
        <v>830258</v>
      </c>
      <c r="H945" s="12">
        <f t="shared" si="57"/>
        <v>2.9357004291139903</v>
      </c>
      <c r="I945" s="12">
        <f t="shared" si="58"/>
        <v>85.23616228119225</v>
      </c>
      <c r="J945">
        <f t="shared" si="59"/>
        <v>6237</v>
      </c>
      <c r="M945" s="5" t="s">
        <v>130</v>
      </c>
      <c r="N945" s="7">
        <v>830258</v>
      </c>
    </row>
    <row r="946" spans="1:14" x14ac:dyDescent="0.3">
      <c r="A946" s="5" t="s">
        <v>131</v>
      </c>
      <c r="B946" s="6" t="s">
        <v>9</v>
      </c>
      <c r="C946" s="6">
        <v>7025203</v>
      </c>
      <c r="D946" s="6">
        <v>122294</v>
      </c>
      <c r="E946" s="6">
        <v>5666565</v>
      </c>
      <c r="F946" s="6"/>
      <c r="G946" s="7">
        <f t="shared" si="56"/>
        <v>1236344</v>
      </c>
      <c r="H946" s="12">
        <f t="shared" si="57"/>
        <v>1.7407895544086056</v>
      </c>
      <c r="I946" s="12">
        <f t="shared" si="58"/>
        <v>80.660516144515682</v>
      </c>
      <c r="J946">
        <f t="shared" si="59"/>
        <v>5856</v>
      </c>
      <c r="M946" s="5" t="s">
        <v>131</v>
      </c>
      <c r="N946" s="7">
        <v>1236344</v>
      </c>
    </row>
    <row r="947" spans="1:14" x14ac:dyDescent="0.3">
      <c r="A947" s="5" t="s">
        <v>131</v>
      </c>
      <c r="B947" s="6" t="s">
        <v>9</v>
      </c>
      <c r="C947" s="6">
        <v>7046338</v>
      </c>
      <c r="D947" s="6">
        <v>121094</v>
      </c>
      <c r="E947" s="6">
        <v>5861902</v>
      </c>
      <c r="F947" s="6"/>
      <c r="G947" s="7">
        <f t="shared" si="56"/>
        <v>1063342</v>
      </c>
      <c r="H947" s="12">
        <f t="shared" si="57"/>
        <v>1.7185380548023668</v>
      </c>
      <c r="I947" s="12">
        <f t="shared" si="58"/>
        <v>83.19075809306905</v>
      </c>
      <c r="J947">
        <f t="shared" si="59"/>
        <v>21135</v>
      </c>
      <c r="M947" s="5" t="s">
        <v>131</v>
      </c>
      <c r="N947" s="7">
        <v>1063342</v>
      </c>
    </row>
    <row r="948" spans="1:14" x14ac:dyDescent="0.3">
      <c r="A948" s="5" t="s">
        <v>131</v>
      </c>
      <c r="B948" s="6" t="s">
        <v>9</v>
      </c>
      <c r="C948" s="6">
        <v>7059469</v>
      </c>
      <c r="D948" s="6">
        <v>88438</v>
      </c>
      <c r="E948" s="6">
        <v>6299855</v>
      </c>
      <c r="F948" s="6"/>
      <c r="G948" s="7">
        <f t="shared" si="56"/>
        <v>671176</v>
      </c>
      <c r="H948" s="12">
        <f t="shared" si="57"/>
        <v>1.2527571124683741</v>
      </c>
      <c r="I948" s="12">
        <f t="shared" si="58"/>
        <v>89.239785598605224</v>
      </c>
      <c r="J948">
        <f t="shared" si="59"/>
        <v>13131</v>
      </c>
      <c r="M948" s="5" t="s">
        <v>131</v>
      </c>
      <c r="N948" s="7">
        <v>671176</v>
      </c>
    </row>
    <row r="949" spans="1:14" x14ac:dyDescent="0.3">
      <c r="A949" s="5" t="s">
        <v>131</v>
      </c>
      <c r="B949" s="6" t="s">
        <v>9</v>
      </c>
      <c r="C949" s="6">
        <v>7065304</v>
      </c>
      <c r="D949" s="6">
        <v>80233</v>
      </c>
      <c r="E949" s="6">
        <v>6123279</v>
      </c>
      <c r="F949" s="6"/>
      <c r="G949" s="7">
        <f t="shared" si="56"/>
        <v>861792</v>
      </c>
      <c r="H949" s="12">
        <f t="shared" si="57"/>
        <v>1.1355916178553676</v>
      </c>
      <c r="I949" s="12">
        <f t="shared" si="58"/>
        <v>86.666886520381865</v>
      </c>
      <c r="J949">
        <f t="shared" si="59"/>
        <v>5835</v>
      </c>
      <c r="M949" s="5" t="s">
        <v>131</v>
      </c>
      <c r="N949" s="7">
        <v>861792</v>
      </c>
    </row>
    <row r="950" spans="1:14" x14ac:dyDescent="0.3">
      <c r="A950" s="5" t="s">
        <v>131</v>
      </c>
      <c r="B950" s="6" t="s">
        <v>9</v>
      </c>
      <c r="C950" s="6">
        <v>7085117</v>
      </c>
      <c r="D950" s="6">
        <v>151066</v>
      </c>
      <c r="E950" s="6">
        <v>5530898</v>
      </c>
      <c r="F950" s="6"/>
      <c r="G950" s="7">
        <f t="shared" si="56"/>
        <v>1403153</v>
      </c>
      <c r="H950" s="12">
        <f t="shared" si="57"/>
        <v>2.1321595677248522</v>
      </c>
      <c r="I950" s="12">
        <f t="shared" si="58"/>
        <v>78.06360854732533</v>
      </c>
      <c r="J950">
        <f t="shared" si="59"/>
        <v>19813</v>
      </c>
      <c r="M950" s="5" t="s">
        <v>131</v>
      </c>
      <c r="N950" s="7">
        <v>1403153</v>
      </c>
    </row>
    <row r="951" spans="1:14" x14ac:dyDescent="0.3">
      <c r="A951" s="5" t="s">
        <v>131</v>
      </c>
      <c r="B951" s="6" t="s">
        <v>9</v>
      </c>
      <c r="C951" s="6">
        <v>7130720</v>
      </c>
      <c r="D951" s="6">
        <v>145689</v>
      </c>
      <c r="E951" s="6">
        <v>5483760</v>
      </c>
      <c r="F951" s="6"/>
      <c r="G951" s="7">
        <f t="shared" si="56"/>
        <v>1501271</v>
      </c>
      <c r="H951" s="12">
        <f t="shared" si="57"/>
        <v>2.0431176655372809</v>
      </c>
      <c r="I951" s="12">
        <f t="shared" si="58"/>
        <v>76.903314111337977</v>
      </c>
      <c r="J951">
        <f t="shared" si="59"/>
        <v>45603</v>
      </c>
      <c r="M951" s="5" t="s">
        <v>131</v>
      </c>
      <c r="N951" s="7">
        <v>1501271</v>
      </c>
    </row>
    <row r="952" spans="1:14" x14ac:dyDescent="0.3">
      <c r="A952" s="5" t="s">
        <v>131</v>
      </c>
      <c r="B952" s="6" t="s">
        <v>9</v>
      </c>
      <c r="C952" s="6">
        <v>7162463</v>
      </c>
      <c r="D952" s="6">
        <v>191708</v>
      </c>
      <c r="E952" s="6">
        <v>5435862</v>
      </c>
      <c r="F952" s="6"/>
      <c r="G952" s="7">
        <f t="shared" si="56"/>
        <v>1534893</v>
      </c>
      <c r="H952" s="12">
        <f t="shared" si="57"/>
        <v>2.67656531000579</v>
      </c>
      <c r="I952" s="12">
        <f t="shared" si="58"/>
        <v>75.893753308045007</v>
      </c>
      <c r="J952">
        <f t="shared" si="59"/>
        <v>31743</v>
      </c>
      <c r="M952" s="5" t="s">
        <v>131</v>
      </c>
      <c r="N952" s="7">
        <v>1534893</v>
      </c>
    </row>
    <row r="953" spans="1:14" x14ac:dyDescent="0.3">
      <c r="A953" s="5" t="s">
        <v>131</v>
      </c>
      <c r="B953" s="6" t="s">
        <v>9</v>
      </c>
      <c r="C953" s="6">
        <v>7192536</v>
      </c>
      <c r="D953" s="6">
        <v>72637</v>
      </c>
      <c r="E953" s="6">
        <v>6426663</v>
      </c>
      <c r="F953" s="6"/>
      <c r="G953" s="7">
        <f t="shared" si="56"/>
        <v>693236</v>
      </c>
      <c r="H953" s="12">
        <f t="shared" si="57"/>
        <v>1.0098941458200557</v>
      </c>
      <c r="I953" s="12">
        <f t="shared" si="58"/>
        <v>89.351836403738531</v>
      </c>
      <c r="J953">
        <f t="shared" si="59"/>
        <v>30073</v>
      </c>
      <c r="M953" s="5" t="s">
        <v>131</v>
      </c>
      <c r="N953" s="7">
        <v>693236</v>
      </c>
    </row>
    <row r="954" spans="1:14" x14ac:dyDescent="0.3">
      <c r="A954" s="5" t="s">
        <v>132</v>
      </c>
      <c r="B954" s="6" t="s">
        <v>9</v>
      </c>
      <c r="C954" s="6">
        <v>7225593</v>
      </c>
      <c r="D954" s="6">
        <v>170906</v>
      </c>
      <c r="E954" s="6">
        <v>6044872</v>
      </c>
      <c r="F954" s="6"/>
      <c r="G954" s="7">
        <f t="shared" si="56"/>
        <v>1009815</v>
      </c>
      <c r="H954" s="12">
        <f t="shared" si="57"/>
        <v>2.3652868352812013</v>
      </c>
      <c r="I954" s="12">
        <f t="shared" si="58"/>
        <v>83.65918202146176</v>
      </c>
      <c r="J954">
        <f t="shared" si="59"/>
        <v>33057</v>
      </c>
      <c r="M954" s="5" t="s">
        <v>132</v>
      </c>
      <c r="N954" s="7">
        <v>1009815</v>
      </c>
    </row>
    <row r="955" spans="1:14" x14ac:dyDescent="0.3">
      <c r="A955" s="5" t="s">
        <v>132</v>
      </c>
      <c r="B955" s="6" t="s">
        <v>9</v>
      </c>
      <c r="C955" s="6">
        <v>7264735</v>
      </c>
      <c r="D955" s="6">
        <v>99375</v>
      </c>
      <c r="E955" s="6">
        <v>5247112</v>
      </c>
      <c r="F955" s="6"/>
      <c r="G955" s="7">
        <f t="shared" si="56"/>
        <v>1918248</v>
      </c>
      <c r="H955" s="12">
        <f t="shared" si="57"/>
        <v>1.3679094970429067</v>
      </c>
      <c r="I955" s="12">
        <f t="shared" si="58"/>
        <v>72.227163138091072</v>
      </c>
      <c r="J955">
        <f t="shared" si="59"/>
        <v>39142</v>
      </c>
      <c r="M955" s="5" t="s">
        <v>132</v>
      </c>
      <c r="N955" s="7">
        <v>1918248</v>
      </c>
    </row>
    <row r="956" spans="1:14" x14ac:dyDescent="0.3">
      <c r="A956" s="5" t="s">
        <v>132</v>
      </c>
      <c r="B956" s="6" t="s">
        <v>9</v>
      </c>
      <c r="C956" s="6">
        <v>7297860</v>
      </c>
      <c r="D956" s="6">
        <v>164153</v>
      </c>
      <c r="E956" s="6">
        <v>5544094</v>
      </c>
      <c r="F956" s="6"/>
      <c r="G956" s="7">
        <f t="shared" si="56"/>
        <v>1589613</v>
      </c>
      <c r="H956" s="12">
        <f t="shared" si="57"/>
        <v>2.2493306256902708</v>
      </c>
      <c r="I956" s="12">
        <f t="shared" si="58"/>
        <v>75.968763445722445</v>
      </c>
      <c r="J956">
        <f t="shared" si="59"/>
        <v>33125</v>
      </c>
      <c r="M956" s="5" t="s">
        <v>132</v>
      </c>
      <c r="N956" s="7">
        <v>1589613</v>
      </c>
    </row>
    <row r="957" spans="1:14" x14ac:dyDescent="0.3">
      <c r="A957" s="5" t="s">
        <v>132</v>
      </c>
      <c r="B957" s="6" t="s">
        <v>9</v>
      </c>
      <c r="C957" s="6">
        <v>7326975</v>
      </c>
      <c r="D957" s="6">
        <v>167966</v>
      </c>
      <c r="E957" s="6">
        <v>6539298</v>
      </c>
      <c r="F957" s="6"/>
      <c r="G957" s="7">
        <f t="shared" si="56"/>
        <v>619711</v>
      </c>
      <c r="H957" s="12">
        <f t="shared" si="57"/>
        <v>2.2924330982431358</v>
      </c>
      <c r="I957" s="12">
        <f t="shared" si="58"/>
        <v>89.249628939637432</v>
      </c>
      <c r="J957">
        <f t="shared" si="59"/>
        <v>29115</v>
      </c>
      <c r="M957" s="5" t="s">
        <v>132</v>
      </c>
      <c r="N957" s="7">
        <v>619711</v>
      </c>
    </row>
    <row r="958" spans="1:14" x14ac:dyDescent="0.3">
      <c r="A958" s="5" t="s">
        <v>132</v>
      </c>
      <c r="B958" s="6" t="s">
        <v>9</v>
      </c>
      <c r="C958" s="6">
        <v>7373898</v>
      </c>
      <c r="D958" s="6">
        <v>82272</v>
      </c>
      <c r="E958" s="6">
        <v>6182674</v>
      </c>
      <c r="F958" s="6"/>
      <c r="G958" s="7">
        <f t="shared" si="56"/>
        <v>1108952</v>
      </c>
      <c r="H958" s="12">
        <f t="shared" si="57"/>
        <v>1.1157192573046169</v>
      </c>
      <c r="I958" s="12">
        <f t="shared" si="58"/>
        <v>83.845396288367425</v>
      </c>
      <c r="J958">
        <f t="shared" si="59"/>
        <v>46923</v>
      </c>
      <c r="M958" s="5" t="s">
        <v>132</v>
      </c>
      <c r="N958" s="7">
        <v>1108952</v>
      </c>
    </row>
    <row r="959" spans="1:14" x14ac:dyDescent="0.3">
      <c r="A959" s="5" t="s">
        <v>132</v>
      </c>
      <c r="B959" s="6" t="s">
        <v>9</v>
      </c>
      <c r="C959" s="6">
        <v>7386874</v>
      </c>
      <c r="D959" s="6">
        <v>162833</v>
      </c>
      <c r="E959" s="6">
        <v>5271553</v>
      </c>
      <c r="F959" s="6"/>
      <c r="G959" s="7">
        <f t="shared" si="56"/>
        <v>1952488</v>
      </c>
      <c r="H959" s="12">
        <f t="shared" si="57"/>
        <v>2.2043559968668749</v>
      </c>
      <c r="I959" s="12">
        <f t="shared" si="58"/>
        <v>71.363786630176719</v>
      </c>
      <c r="J959">
        <f t="shared" si="59"/>
        <v>12976</v>
      </c>
      <c r="M959" s="5" t="s">
        <v>132</v>
      </c>
      <c r="N959" s="7">
        <v>1952488</v>
      </c>
    </row>
    <row r="960" spans="1:14" x14ac:dyDescent="0.3">
      <c r="A960" s="5" t="s">
        <v>132</v>
      </c>
      <c r="B960" s="6" t="s">
        <v>9</v>
      </c>
      <c r="C960" s="6">
        <v>7390844</v>
      </c>
      <c r="D960" s="6">
        <v>80234</v>
      </c>
      <c r="E960" s="6">
        <v>6186766</v>
      </c>
      <c r="F960" s="6"/>
      <c r="G960" s="7">
        <f t="shared" si="56"/>
        <v>1123844</v>
      </c>
      <c r="H960" s="12">
        <f t="shared" si="57"/>
        <v>1.0855864364069923</v>
      </c>
      <c r="I960" s="12">
        <f t="shared" si="58"/>
        <v>83.708518269361392</v>
      </c>
      <c r="J960">
        <f t="shared" si="59"/>
        <v>3970</v>
      </c>
      <c r="M960" s="5" t="s">
        <v>132</v>
      </c>
      <c r="N960" s="7">
        <v>1123844</v>
      </c>
    </row>
    <row r="961" spans="1:14" x14ac:dyDescent="0.3">
      <c r="A961" s="5" t="s">
        <v>132</v>
      </c>
      <c r="B961" s="6" t="s">
        <v>9</v>
      </c>
      <c r="C961" s="6">
        <v>7403964</v>
      </c>
      <c r="D961" s="6">
        <v>218876</v>
      </c>
      <c r="E961" s="6">
        <v>5235559</v>
      </c>
      <c r="F961" s="6"/>
      <c r="G961" s="7">
        <f t="shared" si="56"/>
        <v>1949529</v>
      </c>
      <c r="H961" s="12">
        <f t="shared" si="57"/>
        <v>2.9562002192339132</v>
      </c>
      <c r="I961" s="12">
        <f t="shared" si="58"/>
        <v>70.712918107111264</v>
      </c>
      <c r="J961">
        <f t="shared" si="59"/>
        <v>13120</v>
      </c>
      <c r="M961" s="5" t="s">
        <v>132</v>
      </c>
      <c r="N961" s="7">
        <v>1949529</v>
      </c>
    </row>
    <row r="962" spans="1:14" x14ac:dyDescent="0.3">
      <c r="A962" s="5" t="s">
        <v>133</v>
      </c>
      <c r="B962" s="6" t="s">
        <v>9</v>
      </c>
      <c r="C962" s="6">
        <v>7452794</v>
      </c>
      <c r="D962" s="6">
        <v>143031</v>
      </c>
      <c r="E962" s="6">
        <v>6514955</v>
      </c>
      <c r="F962" s="6"/>
      <c r="G962" s="7">
        <f t="shared" si="56"/>
        <v>794808</v>
      </c>
      <c r="H962" s="12">
        <f t="shared" si="57"/>
        <v>1.9191594454375096</v>
      </c>
      <c r="I962" s="12">
        <f t="shared" si="58"/>
        <v>87.41627636561536</v>
      </c>
      <c r="J962">
        <f t="shared" si="59"/>
        <v>48830</v>
      </c>
      <c r="M962" s="5" t="s">
        <v>133</v>
      </c>
      <c r="N962" s="7">
        <v>794808</v>
      </c>
    </row>
    <row r="963" spans="1:14" x14ac:dyDescent="0.3">
      <c r="A963" s="5" t="s">
        <v>133</v>
      </c>
      <c r="B963" s="6" t="s">
        <v>9</v>
      </c>
      <c r="C963" s="6">
        <v>7494931</v>
      </c>
      <c r="D963" s="6">
        <v>155887</v>
      </c>
      <c r="E963" s="6">
        <v>6328783</v>
      </c>
      <c r="F963" s="6"/>
      <c r="G963" s="7">
        <f t="shared" ref="G963:G1026" si="60" xml:space="preserve"> C963-D963-E963</f>
        <v>1010261</v>
      </c>
      <c r="H963" s="12">
        <f t="shared" ref="H963:H1026" si="61">D963/C963*100</f>
        <v>2.0798990677832792</v>
      </c>
      <c r="I963" s="12">
        <f t="shared" ref="I963:I1026" si="62">E963/C963*100</f>
        <v>84.440844085155689</v>
      </c>
      <c r="J963">
        <f t="shared" ref="J963:J1026" si="63">IF(B963=B962,C963-C962,"")</f>
        <v>42137</v>
      </c>
      <c r="M963" s="5" t="s">
        <v>133</v>
      </c>
      <c r="N963" s="7">
        <v>1010261</v>
      </c>
    </row>
    <row r="964" spans="1:14" x14ac:dyDescent="0.3">
      <c r="A964" s="5" t="s">
        <v>133</v>
      </c>
      <c r="B964" s="6" t="s">
        <v>9</v>
      </c>
      <c r="C964" s="6">
        <v>7510002</v>
      </c>
      <c r="D964" s="6">
        <v>192025</v>
      </c>
      <c r="E964" s="6">
        <v>5416224</v>
      </c>
      <c r="F964" s="6"/>
      <c r="G964" s="7">
        <f t="shared" si="60"/>
        <v>1901753</v>
      </c>
      <c r="H964" s="12">
        <f t="shared" si="61"/>
        <v>2.5569234202600746</v>
      </c>
      <c r="I964" s="12">
        <f t="shared" si="62"/>
        <v>72.12014058052182</v>
      </c>
      <c r="J964">
        <f t="shared" si="63"/>
        <v>15071</v>
      </c>
      <c r="M964" s="5" t="s">
        <v>133</v>
      </c>
      <c r="N964" s="7">
        <v>1901753</v>
      </c>
    </row>
    <row r="965" spans="1:14" x14ac:dyDescent="0.3">
      <c r="A965" s="5" t="s">
        <v>133</v>
      </c>
      <c r="B965" s="6" t="s">
        <v>9</v>
      </c>
      <c r="C965" s="6">
        <v>7551583</v>
      </c>
      <c r="D965" s="6">
        <v>186670</v>
      </c>
      <c r="E965" s="6">
        <v>6641202</v>
      </c>
      <c r="F965" s="6"/>
      <c r="G965" s="7">
        <f t="shared" si="60"/>
        <v>723711</v>
      </c>
      <c r="H965" s="12">
        <f t="shared" si="61"/>
        <v>2.4719320439171497</v>
      </c>
      <c r="I965" s="12">
        <f t="shared" si="62"/>
        <v>87.944501172800457</v>
      </c>
      <c r="J965">
        <f t="shared" si="63"/>
        <v>41581</v>
      </c>
      <c r="M965" s="5" t="s">
        <v>133</v>
      </c>
      <c r="N965" s="7">
        <v>723711</v>
      </c>
    </row>
    <row r="966" spans="1:14" x14ac:dyDescent="0.3">
      <c r="A966" s="5" t="s">
        <v>133</v>
      </c>
      <c r="B966" s="6" t="s">
        <v>9</v>
      </c>
      <c r="C966" s="6">
        <v>7572208</v>
      </c>
      <c r="D966" s="6">
        <v>118951</v>
      </c>
      <c r="E966" s="6">
        <v>5543261</v>
      </c>
      <c r="F966" s="6"/>
      <c r="G966" s="7">
        <f t="shared" si="60"/>
        <v>1909996</v>
      </c>
      <c r="H966" s="12">
        <f t="shared" si="61"/>
        <v>1.5708892307237203</v>
      </c>
      <c r="I966" s="12">
        <f t="shared" si="62"/>
        <v>73.205345125226344</v>
      </c>
      <c r="J966">
        <f t="shared" si="63"/>
        <v>20625</v>
      </c>
      <c r="M966" s="5" t="s">
        <v>133</v>
      </c>
      <c r="N966" s="7">
        <v>1909996</v>
      </c>
    </row>
    <row r="967" spans="1:14" x14ac:dyDescent="0.3">
      <c r="A967" s="5" t="s">
        <v>133</v>
      </c>
      <c r="B967" s="6" t="s">
        <v>9</v>
      </c>
      <c r="C967" s="6">
        <v>7582461</v>
      </c>
      <c r="D967" s="6">
        <v>101646</v>
      </c>
      <c r="E967" s="6">
        <v>6520423</v>
      </c>
      <c r="F967" s="6"/>
      <c r="G967" s="7">
        <f t="shared" si="60"/>
        <v>960392</v>
      </c>
      <c r="H967" s="12">
        <f t="shared" si="61"/>
        <v>1.340541019597727</v>
      </c>
      <c r="I967" s="12">
        <f t="shared" si="62"/>
        <v>85.993492086540229</v>
      </c>
      <c r="J967">
        <f t="shared" si="63"/>
        <v>10253</v>
      </c>
      <c r="M967" s="5" t="s">
        <v>133</v>
      </c>
      <c r="N967" s="7">
        <v>960392</v>
      </c>
    </row>
    <row r="968" spans="1:14" x14ac:dyDescent="0.3">
      <c r="A968" s="5" t="s">
        <v>133</v>
      </c>
      <c r="B968" s="6" t="s">
        <v>9</v>
      </c>
      <c r="C968" s="6">
        <v>7608987</v>
      </c>
      <c r="D968" s="6">
        <v>83107</v>
      </c>
      <c r="E968" s="6">
        <v>5394971</v>
      </c>
      <c r="F968" s="6"/>
      <c r="G968" s="7">
        <f t="shared" si="60"/>
        <v>2130909</v>
      </c>
      <c r="H968" s="12">
        <f t="shared" si="61"/>
        <v>1.0922216058458243</v>
      </c>
      <c r="I968" s="12">
        <f t="shared" si="62"/>
        <v>70.90261818031756</v>
      </c>
      <c r="J968">
        <f t="shared" si="63"/>
        <v>26526</v>
      </c>
      <c r="M968" s="5" t="s">
        <v>133</v>
      </c>
      <c r="N968" s="7">
        <v>2130909</v>
      </c>
    </row>
    <row r="969" spans="1:14" x14ac:dyDescent="0.3">
      <c r="A969" s="5" t="s">
        <v>133</v>
      </c>
      <c r="B969" s="6" t="s">
        <v>9</v>
      </c>
      <c r="C969" s="6">
        <v>7632391</v>
      </c>
      <c r="D969" s="6">
        <v>220587</v>
      </c>
      <c r="E969" s="6">
        <v>6437754</v>
      </c>
      <c r="F969" s="6"/>
      <c r="G969" s="7">
        <f t="shared" si="60"/>
        <v>974050</v>
      </c>
      <c r="H969" s="12">
        <f t="shared" si="61"/>
        <v>2.8901428137001894</v>
      </c>
      <c r="I969" s="12">
        <f t="shared" si="62"/>
        <v>84.34780136395004</v>
      </c>
      <c r="J969">
        <f t="shared" si="63"/>
        <v>23404</v>
      </c>
      <c r="M969" s="5" t="s">
        <v>133</v>
      </c>
      <c r="N969" s="7">
        <v>974050</v>
      </c>
    </row>
    <row r="970" spans="1:14" x14ac:dyDescent="0.3">
      <c r="A970" s="5" t="s">
        <v>134</v>
      </c>
      <c r="B970" s="6" t="s">
        <v>9</v>
      </c>
      <c r="C970" s="6">
        <v>7646260</v>
      </c>
      <c r="D970" s="6">
        <v>207282</v>
      </c>
      <c r="E970" s="6">
        <v>5464355</v>
      </c>
      <c r="F970" s="6"/>
      <c r="G970" s="7">
        <f t="shared" si="60"/>
        <v>1974623</v>
      </c>
      <c r="H970" s="12">
        <f t="shared" si="61"/>
        <v>2.7108939533837457</v>
      </c>
      <c r="I970" s="12">
        <f t="shared" si="62"/>
        <v>71.464415282765685</v>
      </c>
      <c r="J970">
        <f t="shared" si="63"/>
        <v>13869</v>
      </c>
      <c r="M970" s="5" t="s">
        <v>134</v>
      </c>
      <c r="N970" s="7">
        <v>1974623</v>
      </c>
    </row>
    <row r="971" spans="1:14" x14ac:dyDescent="0.3">
      <c r="A971" s="5" t="s">
        <v>134</v>
      </c>
      <c r="B971" s="6" t="s">
        <v>9</v>
      </c>
      <c r="C971" s="6">
        <v>7689919</v>
      </c>
      <c r="D971" s="6">
        <v>166733</v>
      </c>
      <c r="E971" s="6">
        <v>6638059</v>
      </c>
      <c r="F971" s="6"/>
      <c r="G971" s="7">
        <f t="shared" si="60"/>
        <v>885127</v>
      </c>
      <c r="H971" s="12">
        <f t="shared" si="61"/>
        <v>2.1682022918576904</v>
      </c>
      <c r="I971" s="12">
        <f t="shared" si="62"/>
        <v>86.321572437889131</v>
      </c>
      <c r="J971">
        <f t="shared" si="63"/>
        <v>43659</v>
      </c>
      <c r="M971" s="5" t="s">
        <v>134</v>
      </c>
      <c r="N971" s="7">
        <v>885127</v>
      </c>
    </row>
    <row r="972" spans="1:14" x14ac:dyDescent="0.3">
      <c r="A972" s="5" t="s">
        <v>134</v>
      </c>
      <c r="B972" s="6" t="s">
        <v>9</v>
      </c>
      <c r="C972" s="6">
        <v>7731686</v>
      </c>
      <c r="D972" s="6">
        <v>90317</v>
      </c>
      <c r="E972" s="6">
        <v>6430560</v>
      </c>
      <c r="F972" s="6"/>
      <c r="G972" s="7">
        <f t="shared" si="60"/>
        <v>1210809</v>
      </c>
      <c r="H972" s="12">
        <f t="shared" si="61"/>
        <v>1.1681410755687698</v>
      </c>
      <c r="I972" s="12">
        <f t="shared" si="62"/>
        <v>83.171510069084547</v>
      </c>
      <c r="J972">
        <f t="shared" si="63"/>
        <v>41767</v>
      </c>
      <c r="M972" s="5" t="s">
        <v>134</v>
      </c>
      <c r="N972" s="7">
        <v>1210809</v>
      </c>
    </row>
    <row r="973" spans="1:14" x14ac:dyDescent="0.3">
      <c r="A973" s="5" t="s">
        <v>134</v>
      </c>
      <c r="B973" s="6" t="s">
        <v>9</v>
      </c>
      <c r="C973" s="6">
        <v>7751044</v>
      </c>
      <c r="D973" s="6">
        <v>131496</v>
      </c>
      <c r="E973" s="6">
        <v>6963744</v>
      </c>
      <c r="F973" s="6"/>
      <c r="G973" s="7">
        <f t="shared" si="60"/>
        <v>655804</v>
      </c>
      <c r="H973" s="12">
        <f t="shared" si="61"/>
        <v>1.6964940464794163</v>
      </c>
      <c r="I973" s="12">
        <f t="shared" si="62"/>
        <v>89.842658614762101</v>
      </c>
      <c r="J973">
        <f t="shared" si="63"/>
        <v>19358</v>
      </c>
      <c r="M973" s="5" t="s">
        <v>134</v>
      </c>
      <c r="N973" s="7">
        <v>655804</v>
      </c>
    </row>
    <row r="974" spans="1:14" x14ac:dyDescent="0.3">
      <c r="A974" s="5" t="s">
        <v>134</v>
      </c>
      <c r="B974" s="6" t="s">
        <v>9</v>
      </c>
      <c r="C974" s="6">
        <v>7754900</v>
      </c>
      <c r="D974" s="6">
        <v>110066</v>
      </c>
      <c r="E974" s="6">
        <v>5718095</v>
      </c>
      <c r="F974" s="6"/>
      <c r="G974" s="7">
        <f t="shared" si="60"/>
        <v>1926739</v>
      </c>
      <c r="H974" s="12">
        <f t="shared" si="61"/>
        <v>1.419309081999768</v>
      </c>
      <c r="I974" s="12">
        <f t="shared" si="62"/>
        <v>73.735251260493357</v>
      </c>
      <c r="J974">
        <f t="shared" si="63"/>
        <v>3856</v>
      </c>
      <c r="M974" s="5" t="s">
        <v>134</v>
      </c>
      <c r="N974" s="7">
        <v>1926739</v>
      </c>
    </row>
    <row r="975" spans="1:14" x14ac:dyDescent="0.3">
      <c r="A975" s="5" t="s">
        <v>134</v>
      </c>
      <c r="B975" s="6" t="s">
        <v>9</v>
      </c>
      <c r="C975" s="6">
        <v>7773915</v>
      </c>
      <c r="D975" s="6">
        <v>105318</v>
      </c>
      <c r="E975" s="6">
        <v>5541930</v>
      </c>
      <c r="F975" s="6"/>
      <c r="G975" s="7">
        <f t="shared" si="60"/>
        <v>2126667</v>
      </c>
      <c r="H975" s="12">
        <f t="shared" si="61"/>
        <v>1.3547614040030025</v>
      </c>
      <c r="I975" s="12">
        <f t="shared" si="62"/>
        <v>71.288790783022449</v>
      </c>
      <c r="J975">
        <f t="shared" si="63"/>
        <v>19015</v>
      </c>
      <c r="M975" s="5" t="s">
        <v>134</v>
      </c>
      <c r="N975" s="7">
        <v>2126667</v>
      </c>
    </row>
    <row r="976" spans="1:14" x14ac:dyDescent="0.3">
      <c r="A976" s="5" t="s">
        <v>134</v>
      </c>
      <c r="B976" s="6" t="s">
        <v>9</v>
      </c>
      <c r="C976" s="6">
        <v>7785152</v>
      </c>
      <c r="D976" s="6">
        <v>179112</v>
      </c>
      <c r="E976" s="6">
        <v>6540603</v>
      </c>
      <c r="F976" s="6"/>
      <c r="G976" s="7">
        <f t="shared" si="60"/>
        <v>1065437</v>
      </c>
      <c r="H976" s="12">
        <f t="shared" si="61"/>
        <v>2.3006872569732741</v>
      </c>
      <c r="I976" s="12">
        <f t="shared" si="62"/>
        <v>84.013812447078749</v>
      </c>
      <c r="J976">
        <f t="shared" si="63"/>
        <v>11237</v>
      </c>
      <c r="M976" s="5" t="s">
        <v>134</v>
      </c>
      <c r="N976" s="7">
        <v>1065437</v>
      </c>
    </row>
    <row r="977" spans="1:14" x14ac:dyDescent="0.3">
      <c r="A977" s="5" t="s">
        <v>134</v>
      </c>
      <c r="B977" s="6" t="s">
        <v>9</v>
      </c>
      <c r="C977" s="6">
        <v>7830092</v>
      </c>
      <c r="D977" s="6">
        <v>91573</v>
      </c>
      <c r="E977" s="6">
        <v>6825424</v>
      </c>
      <c r="F977" s="6"/>
      <c r="G977" s="7">
        <f t="shared" si="60"/>
        <v>913095</v>
      </c>
      <c r="H977" s="12">
        <f t="shared" si="61"/>
        <v>1.1695009458381842</v>
      </c>
      <c r="I977" s="12">
        <f t="shared" si="62"/>
        <v>87.169141818512472</v>
      </c>
      <c r="J977">
        <f t="shared" si="63"/>
        <v>44940</v>
      </c>
      <c r="M977" s="5" t="s">
        <v>134</v>
      </c>
      <c r="N977" s="7">
        <v>913095</v>
      </c>
    </row>
    <row r="978" spans="1:14" x14ac:dyDescent="0.3">
      <c r="A978" s="5" t="s">
        <v>135</v>
      </c>
      <c r="B978" s="6" t="s">
        <v>9</v>
      </c>
      <c r="C978" s="6">
        <v>7841309</v>
      </c>
      <c r="D978" s="6">
        <v>95694</v>
      </c>
      <c r="E978" s="6">
        <v>6245934</v>
      </c>
      <c r="F978" s="6"/>
      <c r="G978" s="7">
        <f t="shared" si="60"/>
        <v>1499681</v>
      </c>
      <c r="H978" s="12">
        <f t="shared" si="61"/>
        <v>1.2203829743222718</v>
      </c>
      <c r="I978" s="12">
        <f t="shared" si="62"/>
        <v>79.654226099239295</v>
      </c>
      <c r="J978">
        <f t="shared" si="63"/>
        <v>11217</v>
      </c>
      <c r="M978" s="5" t="s">
        <v>135</v>
      </c>
      <c r="N978" s="7">
        <v>1499681</v>
      </c>
    </row>
    <row r="979" spans="1:14" x14ac:dyDescent="0.3">
      <c r="A979" s="5" t="s">
        <v>135</v>
      </c>
      <c r="B979" s="6" t="s">
        <v>9</v>
      </c>
      <c r="C979" s="6">
        <v>7844999</v>
      </c>
      <c r="D979" s="6">
        <v>223278</v>
      </c>
      <c r="E979" s="6">
        <v>7032321</v>
      </c>
      <c r="F979" s="6"/>
      <c r="G979" s="7">
        <f t="shared" si="60"/>
        <v>589400</v>
      </c>
      <c r="H979" s="12">
        <f t="shared" si="61"/>
        <v>2.8461189096391215</v>
      </c>
      <c r="I979" s="12">
        <f t="shared" si="62"/>
        <v>89.640814485763471</v>
      </c>
      <c r="J979">
        <f t="shared" si="63"/>
        <v>3690</v>
      </c>
      <c r="M979" s="5" t="s">
        <v>135</v>
      </c>
      <c r="N979" s="7">
        <v>589400</v>
      </c>
    </row>
    <row r="980" spans="1:14" x14ac:dyDescent="0.3">
      <c r="A980" s="5" t="s">
        <v>135</v>
      </c>
      <c r="B980" s="6" t="s">
        <v>9</v>
      </c>
      <c r="C980" s="6">
        <v>7855052</v>
      </c>
      <c r="D980" s="6">
        <v>187419</v>
      </c>
      <c r="E980" s="6">
        <v>6082102</v>
      </c>
      <c r="F980" s="6"/>
      <c r="G980" s="7">
        <f t="shared" si="60"/>
        <v>1585531</v>
      </c>
      <c r="H980" s="12">
        <f t="shared" si="61"/>
        <v>2.3859676549563265</v>
      </c>
      <c r="I980" s="12">
        <f t="shared" si="62"/>
        <v>77.429175516597468</v>
      </c>
      <c r="J980">
        <f t="shared" si="63"/>
        <v>10053</v>
      </c>
      <c r="M980" s="5" t="s">
        <v>135</v>
      </c>
      <c r="N980" s="7">
        <v>1585531</v>
      </c>
    </row>
    <row r="981" spans="1:14" x14ac:dyDescent="0.3">
      <c r="A981" s="5" t="s">
        <v>135</v>
      </c>
      <c r="B981" s="6" t="s">
        <v>9</v>
      </c>
      <c r="C981" s="6">
        <v>7894176</v>
      </c>
      <c r="D981" s="6">
        <v>91326</v>
      </c>
      <c r="E981" s="6">
        <v>6274516</v>
      </c>
      <c r="F981" s="6"/>
      <c r="G981" s="7">
        <f t="shared" si="60"/>
        <v>1528334</v>
      </c>
      <c r="H981" s="12">
        <f t="shared" si="61"/>
        <v>1.1568781846262359</v>
      </c>
      <c r="I981" s="12">
        <f t="shared" si="62"/>
        <v>79.482849128268739</v>
      </c>
      <c r="J981">
        <f t="shared" si="63"/>
        <v>39124</v>
      </c>
      <c r="M981" s="5" t="s">
        <v>135</v>
      </c>
      <c r="N981" s="7">
        <v>1528334</v>
      </c>
    </row>
    <row r="982" spans="1:14" x14ac:dyDescent="0.3">
      <c r="A982" s="5" t="s">
        <v>135</v>
      </c>
      <c r="B982" s="6" t="s">
        <v>9</v>
      </c>
      <c r="C982" s="6">
        <v>7935918</v>
      </c>
      <c r="D982" s="6">
        <v>122034</v>
      </c>
      <c r="E982" s="6">
        <v>5830610</v>
      </c>
      <c r="F982" s="6"/>
      <c r="G982" s="7">
        <f t="shared" si="60"/>
        <v>1983274</v>
      </c>
      <c r="H982" s="12">
        <f t="shared" si="61"/>
        <v>1.5377427034906359</v>
      </c>
      <c r="I982" s="12">
        <f t="shared" si="62"/>
        <v>73.471147257317924</v>
      </c>
      <c r="J982">
        <f t="shared" si="63"/>
        <v>41742</v>
      </c>
      <c r="M982" s="5" t="s">
        <v>135</v>
      </c>
      <c r="N982" s="7">
        <v>1983274</v>
      </c>
    </row>
    <row r="983" spans="1:14" x14ac:dyDescent="0.3">
      <c r="A983" s="5" t="s">
        <v>135</v>
      </c>
      <c r="B983" s="6" t="s">
        <v>9</v>
      </c>
      <c r="C983" s="6">
        <v>7942954</v>
      </c>
      <c r="D983" s="6">
        <v>216380</v>
      </c>
      <c r="E983" s="6">
        <v>6846903</v>
      </c>
      <c r="F983" s="6"/>
      <c r="G983" s="7">
        <f t="shared" si="60"/>
        <v>879671</v>
      </c>
      <c r="H983" s="12">
        <f t="shared" si="61"/>
        <v>2.7241754138321839</v>
      </c>
      <c r="I983" s="12">
        <f t="shared" si="62"/>
        <v>86.200965031397629</v>
      </c>
      <c r="J983">
        <f t="shared" si="63"/>
        <v>7036</v>
      </c>
      <c r="M983" s="5" t="s">
        <v>135</v>
      </c>
      <c r="N983" s="7">
        <v>879671</v>
      </c>
    </row>
    <row r="984" spans="1:14" x14ac:dyDescent="0.3">
      <c r="A984" s="5" t="s">
        <v>135</v>
      </c>
      <c r="B984" s="6" t="s">
        <v>9</v>
      </c>
      <c r="C984" s="6">
        <v>7960562</v>
      </c>
      <c r="D984" s="6">
        <v>145886</v>
      </c>
      <c r="E984" s="6">
        <v>6542889</v>
      </c>
      <c r="F984" s="6"/>
      <c r="G984" s="7">
        <f t="shared" si="60"/>
        <v>1271787</v>
      </c>
      <c r="H984" s="12">
        <f t="shared" si="61"/>
        <v>1.8326093057248976</v>
      </c>
      <c r="I984" s="12">
        <f t="shared" si="62"/>
        <v>82.191295036707217</v>
      </c>
      <c r="J984">
        <f t="shared" si="63"/>
        <v>17608</v>
      </c>
      <c r="M984" s="5" t="s">
        <v>135</v>
      </c>
      <c r="N984" s="7">
        <v>1271787</v>
      </c>
    </row>
    <row r="985" spans="1:14" x14ac:dyDescent="0.3">
      <c r="A985" s="5" t="s">
        <v>135</v>
      </c>
      <c r="B985" s="6" t="s">
        <v>9</v>
      </c>
      <c r="C985" s="6">
        <v>7964368</v>
      </c>
      <c r="D985" s="6">
        <v>120974</v>
      </c>
      <c r="E985" s="6">
        <v>6253467</v>
      </c>
      <c r="F985" s="6"/>
      <c r="G985" s="7">
        <f t="shared" si="60"/>
        <v>1589927</v>
      </c>
      <c r="H985" s="12">
        <f t="shared" si="61"/>
        <v>1.518940360365066</v>
      </c>
      <c r="I985" s="12">
        <f t="shared" si="62"/>
        <v>78.518056925546389</v>
      </c>
      <c r="J985">
        <f t="shared" si="63"/>
        <v>3806</v>
      </c>
      <c r="M985" s="5" t="s">
        <v>135</v>
      </c>
      <c r="N985" s="7">
        <v>1589927</v>
      </c>
    </row>
    <row r="986" spans="1:14" x14ac:dyDescent="0.3">
      <c r="A986" s="5" t="s">
        <v>136</v>
      </c>
      <c r="B986" s="6" t="s">
        <v>9</v>
      </c>
      <c r="C986" s="6">
        <v>7980402</v>
      </c>
      <c r="D986" s="6">
        <v>226566</v>
      </c>
      <c r="E986" s="6">
        <v>6425667</v>
      </c>
      <c r="F986" s="6"/>
      <c r="G986" s="7">
        <f t="shared" si="60"/>
        <v>1328169</v>
      </c>
      <c r="H986" s="12">
        <f t="shared" si="61"/>
        <v>2.8390299135306716</v>
      </c>
      <c r="I986" s="12">
        <f t="shared" si="62"/>
        <v>80.518086682851319</v>
      </c>
      <c r="J986">
        <f t="shared" si="63"/>
        <v>16034</v>
      </c>
      <c r="M986" s="5" t="s">
        <v>136</v>
      </c>
      <c r="N986" s="7">
        <v>1328169</v>
      </c>
    </row>
    <row r="987" spans="1:14" x14ac:dyDescent="0.3">
      <c r="A987" s="5" t="s">
        <v>136</v>
      </c>
      <c r="B987" s="6" t="s">
        <v>9</v>
      </c>
      <c r="C987" s="6">
        <v>8003317</v>
      </c>
      <c r="D987" s="6">
        <v>133981</v>
      </c>
      <c r="E987" s="6">
        <v>5739638</v>
      </c>
      <c r="F987" s="6"/>
      <c r="G987" s="7">
        <f t="shared" si="60"/>
        <v>2129698</v>
      </c>
      <c r="H987" s="12">
        <f t="shared" si="61"/>
        <v>1.6740683893940476</v>
      </c>
      <c r="I987" s="12">
        <f t="shared" si="62"/>
        <v>71.715739861359978</v>
      </c>
      <c r="J987">
        <f t="shared" si="63"/>
        <v>22915</v>
      </c>
      <c r="M987" s="5" t="s">
        <v>136</v>
      </c>
      <c r="N987" s="7">
        <v>2129698</v>
      </c>
    </row>
    <row r="988" spans="1:14" x14ac:dyDescent="0.3">
      <c r="A988" s="5" t="s">
        <v>136</v>
      </c>
      <c r="B988" s="6" t="s">
        <v>9</v>
      </c>
      <c r="C988" s="6">
        <v>8043373</v>
      </c>
      <c r="D988" s="6">
        <v>111352</v>
      </c>
      <c r="E988" s="6">
        <v>5945749</v>
      </c>
      <c r="F988" s="6"/>
      <c r="G988" s="7">
        <f t="shared" si="60"/>
        <v>1986272</v>
      </c>
      <c r="H988" s="12">
        <f t="shared" si="61"/>
        <v>1.3843943330739481</v>
      </c>
      <c r="I988" s="12">
        <f t="shared" si="62"/>
        <v>73.921090070048962</v>
      </c>
      <c r="J988">
        <f t="shared" si="63"/>
        <v>40056</v>
      </c>
      <c r="M988" s="5" t="s">
        <v>136</v>
      </c>
      <c r="N988" s="7">
        <v>1986272</v>
      </c>
    </row>
    <row r="989" spans="1:14" x14ac:dyDescent="0.3">
      <c r="A989" s="5" t="s">
        <v>136</v>
      </c>
      <c r="B989" s="6" t="s">
        <v>9</v>
      </c>
      <c r="C989" s="6">
        <v>8070909</v>
      </c>
      <c r="D989" s="6">
        <v>194407</v>
      </c>
      <c r="E989" s="6">
        <v>6249825</v>
      </c>
      <c r="F989" s="6"/>
      <c r="G989" s="7">
        <f t="shared" si="60"/>
        <v>1626677</v>
      </c>
      <c r="H989" s="12">
        <f t="shared" si="61"/>
        <v>2.4087373553586096</v>
      </c>
      <c r="I989" s="12">
        <f t="shared" si="62"/>
        <v>77.436444891151666</v>
      </c>
      <c r="J989">
        <f t="shared" si="63"/>
        <v>27536</v>
      </c>
      <c r="M989" s="5" t="s">
        <v>136</v>
      </c>
      <c r="N989" s="7">
        <v>1626677</v>
      </c>
    </row>
    <row r="990" spans="1:14" x14ac:dyDescent="0.3">
      <c r="A990" s="5" t="s">
        <v>136</v>
      </c>
      <c r="B990" s="6" t="s">
        <v>9</v>
      </c>
      <c r="C990" s="6">
        <v>8080111</v>
      </c>
      <c r="D990" s="6">
        <v>97050</v>
      </c>
      <c r="E990" s="6">
        <v>6525989</v>
      </c>
      <c r="F990" s="6"/>
      <c r="G990" s="7">
        <f t="shared" si="60"/>
        <v>1457072</v>
      </c>
      <c r="H990" s="12">
        <f t="shared" si="61"/>
        <v>1.2010973611624889</v>
      </c>
      <c r="I990" s="12">
        <f t="shared" si="62"/>
        <v>80.766081060025044</v>
      </c>
      <c r="J990">
        <f t="shared" si="63"/>
        <v>9202</v>
      </c>
      <c r="M990" s="5" t="s">
        <v>136</v>
      </c>
      <c r="N990" s="7">
        <v>1457072</v>
      </c>
    </row>
    <row r="991" spans="1:14" x14ac:dyDescent="0.3">
      <c r="A991" s="5" t="s">
        <v>136</v>
      </c>
      <c r="B991" s="6" t="s">
        <v>9</v>
      </c>
      <c r="C991" s="6">
        <v>8107339</v>
      </c>
      <c r="D991" s="6">
        <v>224249</v>
      </c>
      <c r="E991" s="6">
        <v>6203031</v>
      </c>
      <c r="F991" s="6"/>
      <c r="G991" s="7">
        <f t="shared" si="60"/>
        <v>1680059</v>
      </c>
      <c r="H991" s="12">
        <f t="shared" si="61"/>
        <v>2.7660000402104807</v>
      </c>
      <c r="I991" s="12">
        <f t="shared" si="62"/>
        <v>76.511306607507095</v>
      </c>
      <c r="J991">
        <f t="shared" si="63"/>
        <v>27228</v>
      </c>
      <c r="M991" s="5" t="s">
        <v>136</v>
      </c>
      <c r="N991" s="7">
        <v>1680059</v>
      </c>
    </row>
    <row r="992" spans="1:14" x14ac:dyDescent="0.3">
      <c r="A992" s="5" t="s">
        <v>136</v>
      </c>
      <c r="B992" s="6" t="s">
        <v>9</v>
      </c>
      <c r="C992" s="6">
        <v>8113021</v>
      </c>
      <c r="D992" s="6">
        <v>98774</v>
      </c>
      <c r="E992" s="6">
        <v>6350887</v>
      </c>
      <c r="F992" s="6"/>
      <c r="G992" s="7">
        <f t="shared" si="60"/>
        <v>1663360</v>
      </c>
      <c r="H992" s="12">
        <f t="shared" si="61"/>
        <v>1.2174749701744887</v>
      </c>
      <c r="I992" s="12">
        <f t="shared" si="62"/>
        <v>78.280174549036659</v>
      </c>
      <c r="J992">
        <f t="shared" si="63"/>
        <v>5682</v>
      </c>
      <c r="M992" s="5" t="s">
        <v>136</v>
      </c>
      <c r="N992" s="7">
        <v>1663360</v>
      </c>
    </row>
    <row r="993" spans="1:14" x14ac:dyDescent="0.3">
      <c r="A993" s="5" t="s">
        <v>136</v>
      </c>
      <c r="B993" s="6" t="s">
        <v>9</v>
      </c>
      <c r="C993" s="6">
        <v>8127411</v>
      </c>
      <c r="D993" s="6">
        <v>228062</v>
      </c>
      <c r="E993" s="6">
        <v>5863685</v>
      </c>
      <c r="F993" s="6"/>
      <c r="G993" s="7">
        <f t="shared" si="60"/>
        <v>2035664</v>
      </c>
      <c r="H993" s="12">
        <f t="shared" si="61"/>
        <v>2.8060842499536447</v>
      </c>
      <c r="I993" s="12">
        <f t="shared" si="62"/>
        <v>72.147021972925941</v>
      </c>
      <c r="J993">
        <f t="shared" si="63"/>
        <v>14390</v>
      </c>
      <c r="M993" s="5" t="s">
        <v>136</v>
      </c>
      <c r="N993" s="7">
        <v>2035664</v>
      </c>
    </row>
    <row r="994" spans="1:14" x14ac:dyDescent="0.3">
      <c r="A994" s="5" t="s">
        <v>137</v>
      </c>
      <c r="B994" s="6" t="s">
        <v>9</v>
      </c>
      <c r="C994" s="6">
        <v>8134158</v>
      </c>
      <c r="D994" s="6">
        <v>129918</v>
      </c>
      <c r="E994" s="6">
        <v>7236384</v>
      </c>
      <c r="F994" s="6"/>
      <c r="G994" s="7">
        <f t="shared" si="60"/>
        <v>767856</v>
      </c>
      <c r="H994" s="12">
        <f t="shared" si="61"/>
        <v>1.5971905143716165</v>
      </c>
      <c r="I994" s="12">
        <f t="shared" si="62"/>
        <v>88.962914170096028</v>
      </c>
      <c r="J994">
        <f t="shared" si="63"/>
        <v>6747</v>
      </c>
      <c r="M994" s="5" t="s">
        <v>137</v>
      </c>
      <c r="N994" s="7">
        <v>767856</v>
      </c>
    </row>
    <row r="995" spans="1:14" x14ac:dyDescent="0.3">
      <c r="A995" s="5" t="s">
        <v>137</v>
      </c>
      <c r="B995" s="6" t="s">
        <v>9</v>
      </c>
      <c r="C995" s="6">
        <v>8146828</v>
      </c>
      <c r="D995" s="6">
        <v>112668</v>
      </c>
      <c r="E995" s="6">
        <v>6035808</v>
      </c>
      <c r="F995" s="6"/>
      <c r="G995" s="7">
        <f t="shared" si="60"/>
        <v>1998352</v>
      </c>
      <c r="H995" s="12">
        <f t="shared" si="61"/>
        <v>1.3829677022762725</v>
      </c>
      <c r="I995" s="12">
        <f t="shared" si="62"/>
        <v>74.087829029899737</v>
      </c>
      <c r="J995">
        <f t="shared" si="63"/>
        <v>12670</v>
      </c>
      <c r="M995" s="5" t="s">
        <v>137</v>
      </c>
      <c r="N995" s="7">
        <v>1998352</v>
      </c>
    </row>
    <row r="996" spans="1:14" x14ac:dyDescent="0.3">
      <c r="A996" s="5" t="s">
        <v>137</v>
      </c>
      <c r="B996" s="6" t="s">
        <v>9</v>
      </c>
      <c r="C996" s="6">
        <v>8163598</v>
      </c>
      <c r="D996" s="6">
        <v>194809</v>
      </c>
      <c r="E996" s="6">
        <v>6973800</v>
      </c>
      <c r="F996" s="6"/>
      <c r="G996" s="7">
        <f t="shared" si="60"/>
        <v>994989</v>
      </c>
      <c r="H996" s="12">
        <f t="shared" si="61"/>
        <v>2.3863129958138556</v>
      </c>
      <c r="I996" s="12">
        <f t="shared" si="62"/>
        <v>85.425568480956557</v>
      </c>
      <c r="J996">
        <f t="shared" si="63"/>
        <v>16770</v>
      </c>
      <c r="M996" s="5" t="s">
        <v>137</v>
      </c>
      <c r="N996" s="7">
        <v>994989</v>
      </c>
    </row>
    <row r="997" spans="1:14" x14ac:dyDescent="0.3">
      <c r="A997" s="5" t="s">
        <v>137</v>
      </c>
      <c r="B997" s="6" t="s">
        <v>9</v>
      </c>
      <c r="C997" s="6">
        <v>8169869</v>
      </c>
      <c r="D997" s="6">
        <v>235474</v>
      </c>
      <c r="E997" s="6">
        <v>7314393</v>
      </c>
      <c r="F997" s="6"/>
      <c r="G997" s="7">
        <f t="shared" si="60"/>
        <v>620002</v>
      </c>
      <c r="H997" s="12">
        <f t="shared" si="61"/>
        <v>2.8822249169478726</v>
      </c>
      <c r="I997" s="12">
        <f t="shared" si="62"/>
        <v>89.52888963091084</v>
      </c>
      <c r="J997">
        <f t="shared" si="63"/>
        <v>6271</v>
      </c>
      <c r="M997" s="5" t="s">
        <v>137</v>
      </c>
      <c r="N997" s="7">
        <v>620002</v>
      </c>
    </row>
    <row r="998" spans="1:14" x14ac:dyDescent="0.3">
      <c r="A998" s="5" t="s">
        <v>137</v>
      </c>
      <c r="B998" s="6" t="s">
        <v>9</v>
      </c>
      <c r="C998" s="6">
        <v>8215662</v>
      </c>
      <c r="D998" s="6">
        <v>177762</v>
      </c>
      <c r="E998" s="6">
        <v>6373142</v>
      </c>
      <c r="F998" s="6"/>
      <c r="G998" s="7">
        <f t="shared" si="60"/>
        <v>1664758</v>
      </c>
      <c r="H998" s="12">
        <f t="shared" si="61"/>
        <v>2.1636966077718389</v>
      </c>
      <c r="I998" s="12">
        <f t="shared" si="62"/>
        <v>77.573079320936031</v>
      </c>
      <c r="J998">
        <f t="shared" si="63"/>
        <v>45793</v>
      </c>
      <c r="M998" s="5" t="s">
        <v>137</v>
      </c>
      <c r="N998" s="7">
        <v>1664758</v>
      </c>
    </row>
    <row r="999" spans="1:14" x14ac:dyDescent="0.3">
      <c r="A999" s="5" t="s">
        <v>137</v>
      </c>
      <c r="B999" s="6" t="s">
        <v>9</v>
      </c>
      <c r="C999" s="6">
        <v>8219331</v>
      </c>
      <c r="D999" s="6">
        <v>129016</v>
      </c>
      <c r="E999" s="6">
        <v>6319150</v>
      </c>
      <c r="F999" s="6"/>
      <c r="G999" s="7">
        <f t="shared" si="60"/>
        <v>1771165</v>
      </c>
      <c r="H999" s="12">
        <f t="shared" si="61"/>
        <v>1.569665463040727</v>
      </c>
      <c r="I999" s="12">
        <f t="shared" si="62"/>
        <v>76.881561285218964</v>
      </c>
      <c r="J999">
        <f t="shared" si="63"/>
        <v>3669</v>
      </c>
      <c r="M999" s="5" t="s">
        <v>137</v>
      </c>
      <c r="N999" s="7">
        <v>1771165</v>
      </c>
    </row>
    <row r="1000" spans="1:14" x14ac:dyDescent="0.3">
      <c r="A1000" s="5" t="s">
        <v>137</v>
      </c>
      <c r="B1000" s="6" t="s">
        <v>9</v>
      </c>
      <c r="C1000" s="6">
        <v>8228479</v>
      </c>
      <c r="D1000" s="6">
        <v>204385</v>
      </c>
      <c r="E1000" s="6">
        <v>6596479</v>
      </c>
      <c r="F1000" s="6"/>
      <c r="G1000" s="7">
        <f t="shared" si="60"/>
        <v>1427615</v>
      </c>
      <c r="H1000" s="12">
        <f t="shared" si="61"/>
        <v>2.483873386563908</v>
      </c>
      <c r="I1000" s="12">
        <f t="shared" si="62"/>
        <v>80.166443883492931</v>
      </c>
      <c r="J1000">
        <f t="shared" si="63"/>
        <v>9148</v>
      </c>
      <c r="M1000" s="5" t="s">
        <v>137</v>
      </c>
      <c r="N1000" s="7">
        <v>1427615</v>
      </c>
    </row>
    <row r="1001" spans="1:14" x14ac:dyDescent="0.3">
      <c r="A1001" s="5" t="s">
        <v>137</v>
      </c>
      <c r="B1001" s="6" t="s">
        <v>9</v>
      </c>
      <c r="C1001" s="6">
        <v>8250790</v>
      </c>
      <c r="D1001" s="6">
        <v>159000</v>
      </c>
      <c r="E1001" s="6">
        <v>7231554</v>
      </c>
      <c r="F1001" s="6"/>
      <c r="G1001" s="7">
        <f t="shared" si="60"/>
        <v>860236</v>
      </c>
      <c r="H1001" s="12">
        <f t="shared" si="61"/>
        <v>1.9270881939790006</v>
      </c>
      <c r="I1001" s="12">
        <f t="shared" si="62"/>
        <v>87.646807154224021</v>
      </c>
      <c r="J1001">
        <f t="shared" si="63"/>
        <v>22311</v>
      </c>
      <c r="M1001" s="5" t="s">
        <v>137</v>
      </c>
      <c r="N1001" s="7">
        <v>860236</v>
      </c>
    </row>
    <row r="1002" spans="1:14" x14ac:dyDescent="0.3">
      <c r="A1002" s="5" t="s">
        <v>138</v>
      </c>
      <c r="B1002" s="6" t="s">
        <v>9</v>
      </c>
      <c r="C1002" s="6">
        <v>8257634</v>
      </c>
      <c r="D1002" s="6">
        <v>182568</v>
      </c>
      <c r="E1002" s="6">
        <v>6798264</v>
      </c>
      <c r="F1002" s="6"/>
      <c r="G1002" s="7">
        <f t="shared" si="60"/>
        <v>1276802</v>
      </c>
      <c r="H1002" s="12">
        <f t="shared" si="61"/>
        <v>2.2108996354161494</v>
      </c>
      <c r="I1002" s="12">
        <f t="shared" si="62"/>
        <v>82.32702006410068</v>
      </c>
      <c r="J1002">
        <f t="shared" si="63"/>
        <v>6844</v>
      </c>
      <c r="M1002" s="5" t="s">
        <v>138</v>
      </c>
      <c r="N1002" s="7">
        <v>1276802</v>
      </c>
    </row>
    <row r="1003" spans="1:14" x14ac:dyDescent="0.3">
      <c r="A1003" s="5" t="s">
        <v>138</v>
      </c>
      <c r="B1003" s="6" t="s">
        <v>9</v>
      </c>
      <c r="C1003" s="6">
        <v>8285128</v>
      </c>
      <c r="D1003" s="6">
        <v>112812</v>
      </c>
      <c r="E1003" s="6">
        <v>7277450</v>
      </c>
      <c r="F1003" s="6"/>
      <c r="G1003" s="7">
        <f t="shared" si="60"/>
        <v>894866</v>
      </c>
      <c r="H1003" s="12">
        <f t="shared" si="61"/>
        <v>1.3616204843184077</v>
      </c>
      <c r="I1003" s="12">
        <f t="shared" si="62"/>
        <v>87.837508364384959</v>
      </c>
      <c r="J1003">
        <f t="shared" si="63"/>
        <v>27494</v>
      </c>
      <c r="M1003" s="5" t="s">
        <v>138</v>
      </c>
      <c r="N1003" s="7">
        <v>894866</v>
      </c>
    </row>
    <row r="1004" spans="1:14" x14ac:dyDescent="0.3">
      <c r="A1004" s="5" t="s">
        <v>138</v>
      </c>
      <c r="B1004" s="6" t="s">
        <v>9</v>
      </c>
      <c r="C1004" s="6">
        <v>8311443</v>
      </c>
      <c r="D1004" s="6">
        <v>140836</v>
      </c>
      <c r="E1004" s="6">
        <v>6303786</v>
      </c>
      <c r="F1004" s="6"/>
      <c r="G1004" s="7">
        <f t="shared" si="60"/>
        <v>1866821</v>
      </c>
      <c r="H1004" s="12">
        <f t="shared" si="61"/>
        <v>1.6944831360811836</v>
      </c>
      <c r="I1004" s="12">
        <f t="shared" si="62"/>
        <v>75.844663796647581</v>
      </c>
      <c r="J1004">
        <f t="shared" si="63"/>
        <v>26315</v>
      </c>
      <c r="M1004" s="5" t="s">
        <v>138</v>
      </c>
      <c r="N1004" s="7">
        <v>1866821</v>
      </c>
    </row>
    <row r="1005" spans="1:14" x14ac:dyDescent="0.3">
      <c r="A1005" s="5" t="s">
        <v>138</v>
      </c>
      <c r="B1005" s="6" t="s">
        <v>9</v>
      </c>
      <c r="C1005" s="6">
        <v>8317646</v>
      </c>
      <c r="D1005" s="6">
        <v>149894</v>
      </c>
      <c r="E1005" s="6">
        <v>6935328</v>
      </c>
      <c r="F1005" s="6"/>
      <c r="G1005" s="7">
        <f t="shared" si="60"/>
        <v>1232424</v>
      </c>
      <c r="H1005" s="12">
        <f t="shared" si="61"/>
        <v>1.8021204557154751</v>
      </c>
      <c r="I1005" s="12">
        <f t="shared" si="62"/>
        <v>83.380898874513292</v>
      </c>
      <c r="J1005">
        <f t="shared" si="63"/>
        <v>6203</v>
      </c>
      <c r="M1005" s="5" t="s">
        <v>138</v>
      </c>
      <c r="N1005" s="7">
        <v>1232424</v>
      </c>
    </row>
    <row r="1006" spans="1:14" x14ac:dyDescent="0.3">
      <c r="A1006" s="5" t="s">
        <v>138</v>
      </c>
      <c r="B1006" s="6" t="s">
        <v>9</v>
      </c>
      <c r="C1006" s="6">
        <v>8350256</v>
      </c>
      <c r="D1006" s="6">
        <v>127778</v>
      </c>
      <c r="E1006" s="6">
        <v>6670284</v>
      </c>
      <c r="F1006" s="6"/>
      <c r="G1006" s="7">
        <f t="shared" si="60"/>
        <v>1552194</v>
      </c>
      <c r="H1006" s="12">
        <f t="shared" si="61"/>
        <v>1.5302285343108044</v>
      </c>
      <c r="I1006" s="12">
        <f t="shared" si="62"/>
        <v>79.881191666459088</v>
      </c>
      <c r="J1006">
        <f t="shared" si="63"/>
        <v>32610</v>
      </c>
      <c r="M1006" s="5" t="s">
        <v>138</v>
      </c>
      <c r="N1006" s="7">
        <v>1552194</v>
      </c>
    </row>
    <row r="1007" spans="1:14" x14ac:dyDescent="0.3">
      <c r="A1007" s="5" t="s">
        <v>138</v>
      </c>
      <c r="B1007" s="6" t="s">
        <v>9</v>
      </c>
      <c r="C1007" s="6">
        <v>8355818</v>
      </c>
      <c r="D1007" s="6">
        <v>96303</v>
      </c>
      <c r="E1007" s="6">
        <v>7410392</v>
      </c>
      <c r="F1007" s="6"/>
      <c r="G1007" s="7">
        <f t="shared" si="60"/>
        <v>849123</v>
      </c>
      <c r="H1007" s="12">
        <f t="shared" si="61"/>
        <v>1.152526299639365</v>
      </c>
      <c r="I1007" s="12">
        <f t="shared" si="62"/>
        <v>88.68541655646402</v>
      </c>
      <c r="J1007">
        <f t="shared" si="63"/>
        <v>5562</v>
      </c>
      <c r="M1007" s="5" t="s">
        <v>138</v>
      </c>
      <c r="N1007" s="7">
        <v>849123</v>
      </c>
    </row>
    <row r="1008" spans="1:14" x14ac:dyDescent="0.3">
      <c r="A1008" s="5" t="s">
        <v>138</v>
      </c>
      <c r="B1008" s="6" t="s">
        <v>9</v>
      </c>
      <c r="C1008" s="6">
        <v>8357351</v>
      </c>
      <c r="D1008" s="6">
        <v>96254</v>
      </c>
      <c r="E1008" s="6">
        <v>6949348</v>
      </c>
      <c r="F1008" s="6"/>
      <c r="G1008" s="7">
        <f t="shared" si="60"/>
        <v>1311749</v>
      </c>
      <c r="H1008" s="12">
        <f t="shared" si="61"/>
        <v>1.1517285800249384</v>
      </c>
      <c r="I1008" s="12">
        <f t="shared" si="62"/>
        <v>83.152520457738348</v>
      </c>
      <c r="J1008">
        <f t="shared" si="63"/>
        <v>1533</v>
      </c>
      <c r="M1008" s="5" t="s">
        <v>138</v>
      </c>
      <c r="N1008" s="7">
        <v>1311749</v>
      </c>
    </row>
    <row r="1009" spans="1:14" x14ac:dyDescent="0.3">
      <c r="A1009" s="5" t="s">
        <v>138</v>
      </c>
      <c r="B1009" s="6" t="s">
        <v>9</v>
      </c>
      <c r="C1009" s="6">
        <v>8393462</v>
      </c>
      <c r="D1009" s="6">
        <v>117252</v>
      </c>
      <c r="E1009" s="6">
        <v>6212182</v>
      </c>
      <c r="F1009" s="6"/>
      <c r="G1009" s="7">
        <f t="shared" si="60"/>
        <v>2064028</v>
      </c>
      <c r="H1009" s="12">
        <f t="shared" si="61"/>
        <v>1.396944431272817</v>
      </c>
      <c r="I1009" s="12">
        <f t="shared" si="62"/>
        <v>74.012153745379436</v>
      </c>
      <c r="J1009">
        <f t="shared" si="63"/>
        <v>36111</v>
      </c>
      <c r="M1009" s="5" t="s">
        <v>138</v>
      </c>
      <c r="N1009" s="7">
        <v>2064028</v>
      </c>
    </row>
    <row r="1010" spans="1:14" x14ac:dyDescent="0.3">
      <c r="A1010" s="5" t="s">
        <v>139</v>
      </c>
      <c r="B1010" s="6" t="s">
        <v>9</v>
      </c>
      <c r="C1010" s="6">
        <v>8416870</v>
      </c>
      <c r="D1010" s="6">
        <v>201807</v>
      </c>
      <c r="E1010" s="6">
        <v>7218961</v>
      </c>
      <c r="F1010" s="6"/>
      <c r="G1010" s="7">
        <f t="shared" si="60"/>
        <v>996102</v>
      </c>
      <c r="H1010" s="12">
        <f t="shared" si="61"/>
        <v>2.3976490072913088</v>
      </c>
      <c r="I1010" s="12">
        <f t="shared" si="62"/>
        <v>85.767761650114593</v>
      </c>
      <c r="J1010">
        <f t="shared" si="63"/>
        <v>23408</v>
      </c>
      <c r="M1010" s="5" t="s">
        <v>139</v>
      </c>
      <c r="N1010" s="7">
        <v>996102</v>
      </c>
    </row>
    <row r="1011" spans="1:14" x14ac:dyDescent="0.3">
      <c r="A1011" s="5" t="s">
        <v>139</v>
      </c>
      <c r="B1011" s="6" t="s">
        <v>9</v>
      </c>
      <c r="C1011" s="6">
        <v>8464471</v>
      </c>
      <c r="D1011" s="6">
        <v>85068</v>
      </c>
      <c r="E1011" s="6">
        <v>6501301</v>
      </c>
      <c r="F1011" s="6"/>
      <c r="G1011" s="7">
        <f t="shared" si="60"/>
        <v>1878102</v>
      </c>
      <c r="H1011" s="12">
        <f t="shared" si="61"/>
        <v>1.0050007850461062</v>
      </c>
      <c r="I1011" s="12">
        <f t="shared" si="62"/>
        <v>76.806938082722482</v>
      </c>
      <c r="J1011">
        <f t="shared" si="63"/>
        <v>47601</v>
      </c>
      <c r="M1011" s="5" t="s">
        <v>139</v>
      </c>
      <c r="N1011" s="7">
        <v>1878102</v>
      </c>
    </row>
    <row r="1012" spans="1:14" x14ac:dyDescent="0.3">
      <c r="A1012" s="5" t="s">
        <v>139</v>
      </c>
      <c r="B1012" s="6" t="s">
        <v>9</v>
      </c>
      <c r="C1012" s="6">
        <v>8478532</v>
      </c>
      <c r="D1012" s="6">
        <v>113824</v>
      </c>
      <c r="E1012" s="6">
        <v>6784607</v>
      </c>
      <c r="F1012" s="6"/>
      <c r="G1012" s="7">
        <f t="shared" si="60"/>
        <v>1580101</v>
      </c>
      <c r="H1012" s="12">
        <f t="shared" si="61"/>
        <v>1.3424965548281236</v>
      </c>
      <c r="I1012" s="12">
        <f t="shared" si="62"/>
        <v>80.021010712703571</v>
      </c>
      <c r="J1012">
        <f t="shared" si="63"/>
        <v>14061</v>
      </c>
      <c r="M1012" s="5" t="s">
        <v>139</v>
      </c>
      <c r="N1012" s="7">
        <v>1580101</v>
      </c>
    </row>
    <row r="1013" spans="1:14" x14ac:dyDescent="0.3">
      <c r="A1013" s="5" t="s">
        <v>139</v>
      </c>
      <c r="B1013" s="6" t="s">
        <v>9</v>
      </c>
      <c r="C1013" s="6">
        <v>8486904</v>
      </c>
      <c r="D1013" s="6">
        <v>114645</v>
      </c>
      <c r="E1013" s="6">
        <v>7372725</v>
      </c>
      <c r="F1013" s="6"/>
      <c r="G1013" s="7">
        <f t="shared" si="60"/>
        <v>999534</v>
      </c>
      <c r="H1013" s="12">
        <f t="shared" si="61"/>
        <v>1.3508459622024711</v>
      </c>
      <c r="I1013" s="12">
        <f t="shared" si="62"/>
        <v>86.871785046702541</v>
      </c>
      <c r="J1013">
        <f t="shared" si="63"/>
        <v>8372</v>
      </c>
      <c r="M1013" s="5" t="s">
        <v>139</v>
      </c>
      <c r="N1013" s="7">
        <v>999534</v>
      </c>
    </row>
    <row r="1014" spans="1:14" x14ac:dyDescent="0.3">
      <c r="A1014" s="5" t="s">
        <v>139</v>
      </c>
      <c r="B1014" s="6" t="s">
        <v>9</v>
      </c>
      <c r="C1014" s="6">
        <v>8521234</v>
      </c>
      <c r="D1014" s="6">
        <v>138888</v>
      </c>
      <c r="E1014" s="6">
        <v>6999745</v>
      </c>
      <c r="F1014" s="6"/>
      <c r="G1014" s="7">
        <f t="shared" si="60"/>
        <v>1382601</v>
      </c>
      <c r="H1014" s="12">
        <f t="shared" si="61"/>
        <v>1.6299047767025292</v>
      </c>
      <c r="I1014" s="12">
        <f t="shared" si="62"/>
        <v>82.144733966934837</v>
      </c>
      <c r="J1014">
        <f t="shared" si="63"/>
        <v>34330</v>
      </c>
      <c r="M1014" s="5" t="s">
        <v>139</v>
      </c>
      <c r="N1014" s="7">
        <v>1382601</v>
      </c>
    </row>
    <row r="1015" spans="1:14" x14ac:dyDescent="0.3">
      <c r="A1015" s="5" t="s">
        <v>139</v>
      </c>
      <c r="B1015" s="6" t="s">
        <v>9</v>
      </c>
      <c r="C1015" s="6">
        <v>8532070</v>
      </c>
      <c r="D1015" s="6">
        <v>115848</v>
      </c>
      <c r="E1015" s="6">
        <v>6312967</v>
      </c>
      <c r="F1015" s="6"/>
      <c r="G1015" s="7">
        <f t="shared" si="60"/>
        <v>2103255</v>
      </c>
      <c r="H1015" s="12">
        <f t="shared" si="61"/>
        <v>1.3577947672721862</v>
      </c>
      <c r="I1015" s="12">
        <f t="shared" si="62"/>
        <v>73.991036172933406</v>
      </c>
      <c r="J1015">
        <f t="shared" si="63"/>
        <v>10836</v>
      </c>
      <c r="M1015" s="5" t="s">
        <v>139</v>
      </c>
      <c r="N1015" s="7">
        <v>2103255</v>
      </c>
    </row>
    <row r="1016" spans="1:14" x14ac:dyDescent="0.3">
      <c r="A1016" s="5" t="s">
        <v>139</v>
      </c>
      <c r="B1016" s="6" t="s">
        <v>9</v>
      </c>
      <c r="C1016" s="6">
        <v>8570812</v>
      </c>
      <c r="D1016" s="6">
        <v>109551</v>
      </c>
      <c r="E1016" s="6">
        <v>6897480</v>
      </c>
      <c r="F1016" s="6"/>
      <c r="G1016" s="7">
        <f t="shared" si="60"/>
        <v>1563781</v>
      </c>
      <c r="H1016" s="12">
        <f t="shared" si="61"/>
        <v>1.2781869442475229</v>
      </c>
      <c r="I1016" s="12">
        <f t="shared" si="62"/>
        <v>80.476388934910716</v>
      </c>
      <c r="J1016">
        <f t="shared" si="63"/>
        <v>38742</v>
      </c>
      <c r="M1016" s="5" t="s">
        <v>139</v>
      </c>
      <c r="N1016" s="7">
        <v>1563781</v>
      </c>
    </row>
    <row r="1017" spans="1:14" x14ac:dyDescent="0.3">
      <c r="A1017" s="5" t="s">
        <v>139</v>
      </c>
      <c r="B1017" s="6" t="s">
        <v>9</v>
      </c>
      <c r="C1017" s="6">
        <v>8594602</v>
      </c>
      <c r="D1017" s="6">
        <v>220074</v>
      </c>
      <c r="E1017" s="6">
        <v>7443193</v>
      </c>
      <c r="F1017" s="6"/>
      <c r="G1017" s="7">
        <f t="shared" si="60"/>
        <v>931335</v>
      </c>
      <c r="H1017" s="12">
        <f t="shared" si="61"/>
        <v>2.5606072276528917</v>
      </c>
      <c r="I1017" s="12">
        <f t="shared" si="62"/>
        <v>86.603114373417185</v>
      </c>
      <c r="J1017">
        <f t="shared" si="63"/>
        <v>23790</v>
      </c>
      <c r="M1017" s="5" t="s">
        <v>139</v>
      </c>
      <c r="N1017" s="7">
        <v>931335</v>
      </c>
    </row>
    <row r="1018" spans="1:14" x14ac:dyDescent="0.3">
      <c r="A1018" s="5" t="s">
        <v>140</v>
      </c>
      <c r="B1018" s="6" t="s">
        <v>9</v>
      </c>
      <c r="C1018" s="6">
        <v>8596196</v>
      </c>
      <c r="D1018" s="6">
        <v>113791</v>
      </c>
      <c r="E1018" s="6">
        <v>6330740</v>
      </c>
      <c r="F1018" s="6"/>
      <c r="G1018" s="7">
        <f t="shared" si="60"/>
        <v>2151665</v>
      </c>
      <c r="H1018" s="12">
        <f t="shared" si="61"/>
        <v>1.323736685389677</v>
      </c>
      <c r="I1018" s="12">
        <f t="shared" si="62"/>
        <v>73.645831249078071</v>
      </c>
      <c r="J1018">
        <f t="shared" si="63"/>
        <v>1594</v>
      </c>
      <c r="M1018" s="5" t="s">
        <v>140</v>
      </c>
      <c r="N1018" s="7">
        <v>2151665</v>
      </c>
    </row>
    <row r="1019" spans="1:14" x14ac:dyDescent="0.3">
      <c r="A1019" s="5" t="s">
        <v>140</v>
      </c>
      <c r="B1019" s="6" t="s">
        <v>9</v>
      </c>
      <c r="C1019" s="6">
        <v>8639745</v>
      </c>
      <c r="D1019" s="6">
        <v>182113</v>
      </c>
      <c r="E1019" s="6">
        <v>6147158</v>
      </c>
      <c r="F1019" s="6"/>
      <c r="G1019" s="7">
        <f t="shared" si="60"/>
        <v>2310474</v>
      </c>
      <c r="H1019" s="12">
        <f t="shared" si="61"/>
        <v>2.1078515627486691</v>
      </c>
      <c r="I1019" s="12">
        <f t="shared" si="62"/>
        <v>71.149761943205505</v>
      </c>
      <c r="J1019">
        <f t="shared" si="63"/>
        <v>43549</v>
      </c>
      <c r="M1019" s="5" t="s">
        <v>140</v>
      </c>
      <c r="N1019" s="7">
        <v>2310474</v>
      </c>
    </row>
    <row r="1020" spans="1:14" x14ac:dyDescent="0.3">
      <c r="A1020" s="5" t="s">
        <v>140</v>
      </c>
      <c r="B1020" s="6" t="s">
        <v>9</v>
      </c>
      <c r="C1020" s="6">
        <v>8685880</v>
      </c>
      <c r="D1020" s="6">
        <v>142544</v>
      </c>
      <c r="E1020" s="6">
        <v>7046235</v>
      </c>
      <c r="F1020" s="6"/>
      <c r="G1020" s="7">
        <f t="shared" si="60"/>
        <v>1497101</v>
      </c>
      <c r="H1020" s="12">
        <f t="shared" si="61"/>
        <v>1.6411002684817197</v>
      </c>
      <c r="I1020" s="12">
        <f t="shared" si="62"/>
        <v>81.122868379484871</v>
      </c>
      <c r="J1020">
        <f t="shared" si="63"/>
        <v>46135</v>
      </c>
      <c r="M1020" s="5" t="s">
        <v>140</v>
      </c>
      <c r="N1020" s="7">
        <v>1497101</v>
      </c>
    </row>
    <row r="1021" spans="1:14" x14ac:dyDescent="0.3">
      <c r="A1021" s="5" t="s">
        <v>140</v>
      </c>
      <c r="B1021" s="6" t="s">
        <v>9</v>
      </c>
      <c r="C1021" s="6">
        <v>8698078</v>
      </c>
      <c r="D1021" s="6">
        <v>172379</v>
      </c>
      <c r="E1021" s="6">
        <v>7484348</v>
      </c>
      <c r="F1021" s="6"/>
      <c r="G1021" s="7">
        <f t="shared" si="60"/>
        <v>1041351</v>
      </c>
      <c r="H1021" s="12">
        <f t="shared" si="61"/>
        <v>1.9818056356818139</v>
      </c>
      <c r="I1021" s="12">
        <f t="shared" si="62"/>
        <v>86.045997748008247</v>
      </c>
      <c r="J1021">
        <f t="shared" si="63"/>
        <v>12198</v>
      </c>
      <c r="M1021" s="5" t="s">
        <v>140</v>
      </c>
      <c r="N1021" s="7">
        <v>1041351</v>
      </c>
    </row>
    <row r="1022" spans="1:14" x14ac:dyDescent="0.3">
      <c r="A1022" s="5" t="s">
        <v>140</v>
      </c>
      <c r="B1022" s="6" t="s">
        <v>9</v>
      </c>
      <c r="C1022" s="6">
        <v>8742952</v>
      </c>
      <c r="D1022" s="6">
        <v>215439</v>
      </c>
      <c r="E1022" s="6">
        <v>7519509</v>
      </c>
      <c r="F1022" s="6"/>
      <c r="G1022" s="7">
        <f t="shared" si="60"/>
        <v>1008004</v>
      </c>
      <c r="H1022" s="12">
        <f t="shared" si="61"/>
        <v>2.4641448334612841</v>
      </c>
      <c r="I1022" s="12">
        <f t="shared" si="62"/>
        <v>86.006522739687924</v>
      </c>
      <c r="J1022">
        <f t="shared" si="63"/>
        <v>44874</v>
      </c>
      <c r="M1022" s="5" t="s">
        <v>140</v>
      </c>
      <c r="N1022" s="7">
        <v>1008004</v>
      </c>
    </row>
    <row r="1023" spans="1:14" x14ac:dyDescent="0.3">
      <c r="A1023" s="5" t="s">
        <v>140</v>
      </c>
      <c r="B1023" s="6" t="s">
        <v>9</v>
      </c>
      <c r="C1023" s="6">
        <v>8766793</v>
      </c>
      <c r="D1023" s="6">
        <v>175555</v>
      </c>
      <c r="E1023" s="6">
        <v>7321635</v>
      </c>
      <c r="F1023" s="6"/>
      <c r="G1023" s="7">
        <f t="shared" si="60"/>
        <v>1269603</v>
      </c>
      <c r="H1023" s="12">
        <f t="shared" si="61"/>
        <v>2.0024996597957769</v>
      </c>
      <c r="I1023" s="12">
        <f t="shared" si="62"/>
        <v>83.515545536435042</v>
      </c>
      <c r="J1023">
        <f t="shared" si="63"/>
        <v>23841</v>
      </c>
      <c r="M1023" s="5" t="s">
        <v>140</v>
      </c>
      <c r="N1023" s="7">
        <v>1269603</v>
      </c>
    </row>
    <row r="1024" spans="1:14" x14ac:dyDescent="0.3">
      <c r="A1024" s="5" t="s">
        <v>140</v>
      </c>
      <c r="B1024" s="6" t="s">
        <v>9</v>
      </c>
      <c r="C1024" s="6">
        <v>8815122</v>
      </c>
      <c r="D1024" s="6">
        <v>118729</v>
      </c>
      <c r="E1024" s="6">
        <v>7092394</v>
      </c>
      <c r="F1024" s="6"/>
      <c r="G1024" s="7">
        <f t="shared" si="60"/>
        <v>1603999</v>
      </c>
      <c r="H1024" s="12">
        <f t="shared" si="61"/>
        <v>1.3468786932273882</v>
      </c>
      <c r="I1024" s="12">
        <f t="shared" si="62"/>
        <v>80.457128103275252</v>
      </c>
      <c r="J1024">
        <f t="shared" si="63"/>
        <v>48329</v>
      </c>
      <c r="M1024" s="5" t="s">
        <v>140</v>
      </c>
      <c r="N1024" s="7">
        <v>1603999</v>
      </c>
    </row>
    <row r="1025" spans="1:14" x14ac:dyDescent="0.3">
      <c r="A1025" s="5" t="s">
        <v>140</v>
      </c>
      <c r="B1025" s="6" t="s">
        <v>9</v>
      </c>
      <c r="C1025" s="6">
        <v>8837214</v>
      </c>
      <c r="D1025" s="6">
        <v>158158</v>
      </c>
      <c r="E1025" s="6">
        <v>7784850</v>
      </c>
      <c r="F1025" s="6"/>
      <c r="G1025" s="7">
        <f t="shared" si="60"/>
        <v>894206</v>
      </c>
      <c r="H1025" s="12">
        <f t="shared" si="61"/>
        <v>1.7896816802218436</v>
      </c>
      <c r="I1025" s="12">
        <f t="shared" si="62"/>
        <v>88.091676856529659</v>
      </c>
      <c r="J1025">
        <f t="shared" si="63"/>
        <v>22092</v>
      </c>
      <c r="M1025" s="5" t="s">
        <v>140</v>
      </c>
      <c r="N1025" s="7">
        <v>894206</v>
      </c>
    </row>
    <row r="1026" spans="1:14" x14ac:dyDescent="0.3">
      <c r="A1026" s="5" t="s">
        <v>141</v>
      </c>
      <c r="B1026" s="6" t="s">
        <v>9</v>
      </c>
      <c r="C1026" s="6">
        <v>8859357</v>
      </c>
      <c r="D1026" s="6">
        <v>264431</v>
      </c>
      <c r="E1026" s="6">
        <v>6809485</v>
      </c>
      <c r="F1026" s="6"/>
      <c r="G1026" s="7">
        <f t="shared" si="60"/>
        <v>1785441</v>
      </c>
      <c r="H1026" s="12">
        <f t="shared" si="61"/>
        <v>2.9847651471771597</v>
      </c>
      <c r="I1026" s="12">
        <f t="shared" si="62"/>
        <v>76.862067980780097</v>
      </c>
      <c r="J1026">
        <f t="shared" si="63"/>
        <v>22143</v>
      </c>
      <c r="M1026" s="5" t="s">
        <v>141</v>
      </c>
      <c r="N1026" s="7">
        <v>1785441</v>
      </c>
    </row>
    <row r="1027" spans="1:14" x14ac:dyDescent="0.3">
      <c r="A1027" s="5" t="s">
        <v>141</v>
      </c>
      <c r="B1027" s="6" t="s">
        <v>9</v>
      </c>
      <c r="C1027" s="6">
        <v>8865883</v>
      </c>
      <c r="D1027" s="6">
        <v>122868</v>
      </c>
      <c r="E1027" s="6">
        <v>7239800</v>
      </c>
      <c r="F1027" s="6"/>
      <c r="G1027" s="7">
        <f t="shared" ref="G1027:G1090" si="64" xml:space="preserve"> C1027-D1027-E1027</f>
        <v>1503215</v>
      </c>
      <c r="H1027" s="12">
        <f t="shared" ref="H1027:H1090" si="65">D1027/C1027*100</f>
        <v>1.3858518096843824</v>
      </c>
      <c r="I1027" s="12">
        <f t="shared" ref="I1027:I1090" si="66">E1027/C1027*100</f>
        <v>81.659097012672049</v>
      </c>
      <c r="J1027">
        <f t="shared" ref="J1027:J1090" si="67">IF(B1027=B1026,C1027-C1026,"")</f>
        <v>6526</v>
      </c>
      <c r="M1027" s="5" t="s">
        <v>141</v>
      </c>
      <c r="N1027" s="7">
        <v>1503215</v>
      </c>
    </row>
    <row r="1028" spans="1:14" x14ac:dyDescent="0.3">
      <c r="A1028" s="5" t="s">
        <v>141</v>
      </c>
      <c r="B1028" s="6" t="s">
        <v>9</v>
      </c>
      <c r="C1028" s="6">
        <v>8890009</v>
      </c>
      <c r="D1028" s="6">
        <v>206184</v>
      </c>
      <c r="E1028" s="6">
        <v>6614109</v>
      </c>
      <c r="F1028" s="6"/>
      <c r="G1028" s="7">
        <f t="shared" si="64"/>
        <v>2069716</v>
      </c>
      <c r="H1028" s="12">
        <f t="shared" si="65"/>
        <v>2.3192777420135346</v>
      </c>
      <c r="I1028" s="12">
        <f t="shared" si="66"/>
        <v>74.399351001781895</v>
      </c>
      <c r="J1028">
        <f t="shared" si="67"/>
        <v>24126</v>
      </c>
      <c r="M1028" s="5" t="s">
        <v>141</v>
      </c>
      <c r="N1028" s="7">
        <v>2069716</v>
      </c>
    </row>
    <row r="1029" spans="1:14" x14ac:dyDescent="0.3">
      <c r="A1029" s="5" t="s">
        <v>141</v>
      </c>
      <c r="B1029" s="6" t="s">
        <v>9</v>
      </c>
      <c r="C1029" s="6">
        <v>8936909</v>
      </c>
      <c r="D1029" s="6">
        <v>232626</v>
      </c>
      <c r="E1029" s="6">
        <v>7876421</v>
      </c>
      <c r="F1029" s="6"/>
      <c r="G1029" s="7">
        <f t="shared" si="64"/>
        <v>827862</v>
      </c>
      <c r="H1029" s="12">
        <f t="shared" si="65"/>
        <v>2.6029805159703425</v>
      </c>
      <c r="I1029" s="12">
        <f t="shared" si="66"/>
        <v>88.133615324940649</v>
      </c>
      <c r="J1029">
        <f t="shared" si="67"/>
        <v>46900</v>
      </c>
      <c r="M1029" s="5" t="s">
        <v>141</v>
      </c>
      <c r="N1029" s="7">
        <v>827862</v>
      </c>
    </row>
    <row r="1030" spans="1:14" x14ac:dyDescent="0.3">
      <c r="A1030" s="5" t="s">
        <v>141</v>
      </c>
      <c r="B1030" s="6" t="s">
        <v>9</v>
      </c>
      <c r="C1030" s="6">
        <v>8968906</v>
      </c>
      <c r="D1030" s="6">
        <v>172425</v>
      </c>
      <c r="E1030" s="6">
        <v>6846540</v>
      </c>
      <c r="F1030" s="6"/>
      <c r="G1030" s="7">
        <f t="shared" si="64"/>
        <v>1949941</v>
      </c>
      <c r="H1030" s="12">
        <f t="shared" si="65"/>
        <v>1.922475271789001</v>
      </c>
      <c r="I1030" s="12">
        <f t="shared" si="66"/>
        <v>76.33640044839359</v>
      </c>
      <c r="J1030">
        <f t="shared" si="67"/>
        <v>31997</v>
      </c>
      <c r="M1030" s="5" t="s">
        <v>141</v>
      </c>
      <c r="N1030" s="7">
        <v>1949941</v>
      </c>
    </row>
    <row r="1031" spans="1:14" x14ac:dyDescent="0.3">
      <c r="A1031" s="5" t="s">
        <v>141</v>
      </c>
      <c r="B1031" s="6" t="s">
        <v>9</v>
      </c>
      <c r="C1031" s="6">
        <v>9012167</v>
      </c>
      <c r="D1031" s="6">
        <v>209237</v>
      </c>
      <c r="E1031" s="6">
        <v>7389418</v>
      </c>
      <c r="F1031" s="6"/>
      <c r="G1031" s="7">
        <f t="shared" si="64"/>
        <v>1413512</v>
      </c>
      <c r="H1031" s="12">
        <f t="shared" si="65"/>
        <v>2.3217168523397316</v>
      </c>
      <c r="I1031" s="12">
        <f t="shared" si="66"/>
        <v>81.993797940051479</v>
      </c>
      <c r="J1031">
        <f t="shared" si="67"/>
        <v>43261</v>
      </c>
      <c r="M1031" s="5" t="s">
        <v>141</v>
      </c>
      <c r="N1031" s="7">
        <v>1413512</v>
      </c>
    </row>
    <row r="1032" spans="1:14" x14ac:dyDescent="0.3">
      <c r="A1032" s="5" t="s">
        <v>141</v>
      </c>
      <c r="B1032" s="6" t="s">
        <v>9</v>
      </c>
      <c r="C1032" s="6">
        <v>9047015</v>
      </c>
      <c r="D1032" s="6">
        <v>235591</v>
      </c>
      <c r="E1032" s="6">
        <v>7824312</v>
      </c>
      <c r="F1032" s="6"/>
      <c r="G1032" s="7">
        <f t="shared" si="64"/>
        <v>987112</v>
      </c>
      <c r="H1032" s="12">
        <f t="shared" si="65"/>
        <v>2.6040743825449608</v>
      </c>
      <c r="I1032" s="12">
        <f t="shared" si="66"/>
        <v>86.485011907242338</v>
      </c>
      <c r="J1032">
        <f t="shared" si="67"/>
        <v>34848</v>
      </c>
      <c r="M1032" s="5" t="s">
        <v>141</v>
      </c>
      <c r="N1032" s="7">
        <v>987112</v>
      </c>
    </row>
    <row r="1033" spans="1:14" x14ac:dyDescent="0.3">
      <c r="A1033" s="5" t="s">
        <v>141</v>
      </c>
      <c r="B1033" s="6" t="s">
        <v>9</v>
      </c>
      <c r="C1033" s="6">
        <v>9064273</v>
      </c>
      <c r="D1033" s="6">
        <v>185617</v>
      </c>
      <c r="E1033" s="6">
        <v>7590595</v>
      </c>
      <c r="F1033" s="6"/>
      <c r="G1033" s="7">
        <f t="shared" si="64"/>
        <v>1288061</v>
      </c>
      <c r="H1033" s="12">
        <f t="shared" si="65"/>
        <v>2.0477869543426155</v>
      </c>
      <c r="I1033" s="12">
        <f t="shared" si="66"/>
        <v>83.741906273123064</v>
      </c>
      <c r="J1033">
        <f t="shared" si="67"/>
        <v>17258</v>
      </c>
      <c r="M1033" s="5" t="s">
        <v>141</v>
      </c>
      <c r="N1033" s="7">
        <v>1288061</v>
      </c>
    </row>
    <row r="1034" spans="1:14" x14ac:dyDescent="0.3">
      <c r="A1034" s="5" t="s">
        <v>142</v>
      </c>
      <c r="B1034" s="6" t="s">
        <v>9</v>
      </c>
      <c r="C1034" s="6">
        <v>9085153</v>
      </c>
      <c r="D1034" s="6">
        <v>124898</v>
      </c>
      <c r="E1034" s="6">
        <v>6740703</v>
      </c>
      <c r="F1034" s="6"/>
      <c r="G1034" s="7">
        <f t="shared" si="64"/>
        <v>2219552</v>
      </c>
      <c r="H1034" s="12">
        <f t="shared" si="65"/>
        <v>1.3747484494757547</v>
      </c>
      <c r="I1034" s="12">
        <f t="shared" si="66"/>
        <v>74.194710865078434</v>
      </c>
      <c r="J1034">
        <f t="shared" si="67"/>
        <v>20880</v>
      </c>
      <c r="M1034" s="5" t="s">
        <v>142</v>
      </c>
      <c r="N1034" s="7">
        <v>2219552</v>
      </c>
    </row>
    <row r="1035" spans="1:14" x14ac:dyDescent="0.3">
      <c r="A1035" s="5" t="s">
        <v>142</v>
      </c>
      <c r="B1035" s="6" t="s">
        <v>9</v>
      </c>
      <c r="C1035" s="6">
        <v>9096981</v>
      </c>
      <c r="D1035" s="6">
        <v>271781</v>
      </c>
      <c r="E1035" s="6">
        <v>7550836</v>
      </c>
      <c r="F1035" s="6"/>
      <c r="G1035" s="7">
        <f t="shared" si="64"/>
        <v>1274364</v>
      </c>
      <c r="H1035" s="12">
        <f t="shared" si="65"/>
        <v>2.9875955550528248</v>
      </c>
      <c r="I1035" s="12">
        <f t="shared" si="66"/>
        <v>83.003756960688392</v>
      </c>
      <c r="J1035">
        <f t="shared" si="67"/>
        <v>11828</v>
      </c>
      <c r="M1035" s="5" t="s">
        <v>142</v>
      </c>
      <c r="N1035" s="7">
        <v>1274364</v>
      </c>
    </row>
    <row r="1036" spans="1:14" x14ac:dyDescent="0.3">
      <c r="A1036" s="5" t="s">
        <v>142</v>
      </c>
      <c r="B1036" s="6" t="s">
        <v>9</v>
      </c>
      <c r="C1036" s="6">
        <v>9136724</v>
      </c>
      <c r="D1036" s="6">
        <v>254966</v>
      </c>
      <c r="E1036" s="6">
        <v>6900491</v>
      </c>
      <c r="F1036" s="6"/>
      <c r="G1036" s="7">
        <f t="shared" si="64"/>
        <v>1981267</v>
      </c>
      <c r="H1036" s="12">
        <f t="shared" si="65"/>
        <v>2.7905625692534874</v>
      </c>
      <c r="I1036" s="12">
        <f t="shared" si="66"/>
        <v>75.52478328118481</v>
      </c>
      <c r="J1036">
        <f t="shared" si="67"/>
        <v>39743</v>
      </c>
      <c r="M1036" s="5" t="s">
        <v>142</v>
      </c>
      <c r="N1036" s="7">
        <v>1981267</v>
      </c>
    </row>
    <row r="1037" spans="1:14" x14ac:dyDescent="0.3">
      <c r="A1037" s="5" t="s">
        <v>142</v>
      </c>
      <c r="B1037" s="6" t="s">
        <v>9</v>
      </c>
      <c r="C1037" s="6">
        <v>9169747</v>
      </c>
      <c r="D1037" s="6">
        <v>191245</v>
      </c>
      <c r="E1037" s="6">
        <v>6493906</v>
      </c>
      <c r="F1037" s="6"/>
      <c r="G1037" s="7">
        <f t="shared" si="64"/>
        <v>2484596</v>
      </c>
      <c r="H1037" s="12">
        <f t="shared" si="65"/>
        <v>2.085608250696557</v>
      </c>
      <c r="I1037" s="12">
        <f t="shared" si="66"/>
        <v>70.818813212621905</v>
      </c>
      <c r="J1037">
        <f t="shared" si="67"/>
        <v>33023</v>
      </c>
      <c r="M1037" s="5" t="s">
        <v>142</v>
      </c>
      <c r="N1037" s="7">
        <v>2484596</v>
      </c>
    </row>
    <row r="1038" spans="1:14" x14ac:dyDescent="0.3">
      <c r="A1038" s="5" t="s">
        <v>142</v>
      </c>
      <c r="B1038" s="6" t="s">
        <v>9</v>
      </c>
      <c r="C1038" s="6">
        <v>9181605</v>
      </c>
      <c r="D1038" s="6">
        <v>103292</v>
      </c>
      <c r="E1038" s="6">
        <v>6867788</v>
      </c>
      <c r="F1038" s="6"/>
      <c r="G1038" s="7">
        <f t="shared" si="64"/>
        <v>2210525</v>
      </c>
      <c r="H1038" s="12">
        <f t="shared" si="65"/>
        <v>1.1249884960200314</v>
      </c>
      <c r="I1038" s="12">
        <f t="shared" si="66"/>
        <v>74.799427768892258</v>
      </c>
      <c r="J1038">
        <f t="shared" si="67"/>
        <v>11858</v>
      </c>
      <c r="M1038" s="5" t="s">
        <v>142</v>
      </c>
      <c r="N1038" s="7">
        <v>2210525</v>
      </c>
    </row>
    <row r="1039" spans="1:14" x14ac:dyDescent="0.3">
      <c r="A1039" s="5" t="s">
        <v>142</v>
      </c>
      <c r="B1039" s="6" t="s">
        <v>9</v>
      </c>
      <c r="C1039" s="6">
        <v>9188955</v>
      </c>
      <c r="D1039" s="6">
        <v>179746</v>
      </c>
      <c r="E1039" s="6">
        <v>6786058</v>
      </c>
      <c r="F1039" s="6"/>
      <c r="G1039" s="7">
        <f t="shared" si="64"/>
        <v>2223151</v>
      </c>
      <c r="H1039" s="12">
        <f t="shared" si="65"/>
        <v>1.9561092637846198</v>
      </c>
      <c r="I1039" s="12">
        <f t="shared" si="66"/>
        <v>73.850160328350725</v>
      </c>
      <c r="J1039">
        <f t="shared" si="67"/>
        <v>7350</v>
      </c>
      <c r="M1039" s="5" t="s">
        <v>142</v>
      </c>
      <c r="N1039" s="7">
        <v>2223151</v>
      </c>
    </row>
    <row r="1040" spans="1:14" x14ac:dyDescent="0.3">
      <c r="A1040" s="5" t="s">
        <v>142</v>
      </c>
      <c r="B1040" s="6" t="s">
        <v>9</v>
      </c>
      <c r="C1040" s="6">
        <v>9204875</v>
      </c>
      <c r="D1040" s="6">
        <v>99780</v>
      </c>
      <c r="E1040" s="6">
        <v>8040627</v>
      </c>
      <c r="F1040" s="6"/>
      <c r="G1040" s="7">
        <f t="shared" si="64"/>
        <v>1064468</v>
      </c>
      <c r="H1040" s="12">
        <f t="shared" si="65"/>
        <v>1.0839908200817503</v>
      </c>
      <c r="I1040" s="12">
        <f t="shared" si="66"/>
        <v>87.351832588709783</v>
      </c>
      <c r="J1040">
        <f t="shared" si="67"/>
        <v>15920</v>
      </c>
      <c r="M1040" s="5" t="s">
        <v>142</v>
      </c>
      <c r="N1040" s="7">
        <v>1064468</v>
      </c>
    </row>
    <row r="1041" spans="1:14" x14ac:dyDescent="0.3">
      <c r="A1041" s="5" t="s">
        <v>142</v>
      </c>
      <c r="B1041" s="6" t="s">
        <v>9</v>
      </c>
      <c r="C1041" s="6">
        <v>9215323</v>
      </c>
      <c r="D1041" s="6">
        <v>160523</v>
      </c>
      <c r="E1041" s="6">
        <v>6614161</v>
      </c>
      <c r="F1041" s="6"/>
      <c r="G1041" s="7">
        <f t="shared" si="64"/>
        <v>2440639</v>
      </c>
      <c r="H1041" s="12">
        <f t="shared" si="65"/>
        <v>1.7419139839157021</v>
      </c>
      <c r="I1041" s="12">
        <f t="shared" si="66"/>
        <v>71.773512442265996</v>
      </c>
      <c r="J1041">
        <f t="shared" si="67"/>
        <v>10448</v>
      </c>
      <c r="M1041" s="5" t="s">
        <v>142</v>
      </c>
      <c r="N1041" s="7">
        <v>2440639</v>
      </c>
    </row>
    <row r="1042" spans="1:14" x14ac:dyDescent="0.3">
      <c r="A1042" s="5" t="s">
        <v>143</v>
      </c>
      <c r="B1042" s="6" t="s">
        <v>9</v>
      </c>
      <c r="C1042" s="6">
        <v>9263761</v>
      </c>
      <c r="D1042" s="6">
        <v>103058</v>
      </c>
      <c r="E1042" s="6">
        <v>8018420</v>
      </c>
      <c r="F1042" s="6"/>
      <c r="G1042" s="7">
        <f t="shared" si="64"/>
        <v>1142283</v>
      </c>
      <c r="H1042" s="12">
        <f t="shared" si="65"/>
        <v>1.1124855228885979</v>
      </c>
      <c r="I1042" s="12">
        <f t="shared" si="66"/>
        <v>86.556853096706618</v>
      </c>
      <c r="J1042">
        <f t="shared" si="67"/>
        <v>48438</v>
      </c>
      <c r="M1042" s="5" t="s">
        <v>143</v>
      </c>
      <c r="N1042" s="7">
        <v>1142283</v>
      </c>
    </row>
    <row r="1043" spans="1:14" x14ac:dyDescent="0.3">
      <c r="A1043" s="5" t="s">
        <v>143</v>
      </c>
      <c r="B1043" s="6" t="s">
        <v>9</v>
      </c>
      <c r="C1043" s="6">
        <v>9284602</v>
      </c>
      <c r="D1043" s="6">
        <v>161054</v>
      </c>
      <c r="E1043" s="6">
        <v>7404523</v>
      </c>
      <c r="F1043" s="6"/>
      <c r="G1043" s="7">
        <f t="shared" si="64"/>
        <v>1719025</v>
      </c>
      <c r="H1043" s="12">
        <f t="shared" si="65"/>
        <v>1.7346354749508919</v>
      </c>
      <c r="I1043" s="12">
        <f t="shared" si="66"/>
        <v>79.750569814408848</v>
      </c>
      <c r="J1043">
        <f t="shared" si="67"/>
        <v>20841</v>
      </c>
      <c r="M1043" s="5" t="s">
        <v>143</v>
      </c>
      <c r="N1043" s="7">
        <v>1719025</v>
      </c>
    </row>
    <row r="1044" spans="1:14" x14ac:dyDescent="0.3">
      <c r="A1044" s="5" t="s">
        <v>143</v>
      </c>
      <c r="B1044" s="6" t="s">
        <v>9</v>
      </c>
      <c r="C1044" s="6">
        <v>9312220</v>
      </c>
      <c r="D1044" s="6">
        <v>248385</v>
      </c>
      <c r="E1044" s="6">
        <v>7871906</v>
      </c>
      <c r="F1044" s="6"/>
      <c r="G1044" s="7">
        <f t="shared" si="64"/>
        <v>1191929</v>
      </c>
      <c r="H1044" s="12">
        <f t="shared" si="65"/>
        <v>2.6673016745738396</v>
      </c>
      <c r="I1044" s="12">
        <f t="shared" si="66"/>
        <v>84.53307589382554</v>
      </c>
      <c r="J1044">
        <f t="shared" si="67"/>
        <v>27618</v>
      </c>
      <c r="M1044" s="5" t="s">
        <v>143</v>
      </c>
      <c r="N1044" s="7">
        <v>1191929</v>
      </c>
    </row>
    <row r="1045" spans="1:14" x14ac:dyDescent="0.3">
      <c r="A1045" s="5" t="s">
        <v>143</v>
      </c>
      <c r="B1045" s="6" t="s">
        <v>9</v>
      </c>
      <c r="C1045" s="6">
        <v>9332234</v>
      </c>
      <c r="D1045" s="6">
        <v>276281</v>
      </c>
      <c r="E1045" s="6">
        <v>7628645</v>
      </c>
      <c r="F1045" s="6"/>
      <c r="G1045" s="7">
        <f t="shared" si="64"/>
        <v>1427308</v>
      </c>
      <c r="H1045" s="12">
        <f t="shared" si="65"/>
        <v>2.9605022763038304</v>
      </c>
      <c r="I1045" s="12">
        <f t="shared" si="66"/>
        <v>81.74511054909253</v>
      </c>
      <c r="J1045">
        <f t="shared" si="67"/>
        <v>20014</v>
      </c>
      <c r="M1045" s="5" t="s">
        <v>143</v>
      </c>
      <c r="N1045" s="7">
        <v>1427308</v>
      </c>
    </row>
    <row r="1046" spans="1:14" x14ac:dyDescent="0.3">
      <c r="A1046" s="5" t="s">
        <v>143</v>
      </c>
      <c r="B1046" s="6" t="s">
        <v>9</v>
      </c>
      <c r="C1046" s="6">
        <v>9340326</v>
      </c>
      <c r="D1046" s="6">
        <v>124002</v>
      </c>
      <c r="E1046" s="6">
        <v>6694027</v>
      </c>
      <c r="F1046" s="6"/>
      <c r="G1046" s="7">
        <f t="shared" si="64"/>
        <v>2522297</v>
      </c>
      <c r="H1046" s="12">
        <f t="shared" si="65"/>
        <v>1.3275982016045265</v>
      </c>
      <c r="I1046" s="12">
        <f t="shared" si="66"/>
        <v>71.668023150369692</v>
      </c>
      <c r="J1046">
        <f t="shared" si="67"/>
        <v>8092</v>
      </c>
      <c r="M1046" s="5" t="s">
        <v>143</v>
      </c>
      <c r="N1046" s="7">
        <v>2522297</v>
      </c>
    </row>
    <row r="1047" spans="1:14" x14ac:dyDescent="0.3">
      <c r="A1047" s="5" t="s">
        <v>143</v>
      </c>
      <c r="B1047" s="6" t="s">
        <v>9</v>
      </c>
      <c r="C1047" s="6">
        <v>9373063</v>
      </c>
      <c r="D1047" s="6">
        <v>262354</v>
      </c>
      <c r="E1047" s="6">
        <v>6619419</v>
      </c>
      <c r="F1047" s="6"/>
      <c r="G1047" s="7">
        <f t="shared" si="64"/>
        <v>2491290</v>
      </c>
      <c r="H1047" s="12">
        <f t="shared" si="65"/>
        <v>2.7990209817217702</v>
      </c>
      <c r="I1047" s="12">
        <f t="shared" si="66"/>
        <v>70.621727390501903</v>
      </c>
      <c r="J1047">
        <f t="shared" si="67"/>
        <v>32737</v>
      </c>
      <c r="M1047" s="5" t="s">
        <v>143</v>
      </c>
      <c r="N1047" s="7">
        <v>2491290</v>
      </c>
    </row>
    <row r="1048" spans="1:14" x14ac:dyDescent="0.3">
      <c r="A1048" s="5" t="s">
        <v>143</v>
      </c>
      <c r="B1048" s="6" t="s">
        <v>9</v>
      </c>
      <c r="C1048" s="6">
        <v>9412451</v>
      </c>
      <c r="D1048" s="6">
        <v>164491</v>
      </c>
      <c r="E1048" s="6">
        <v>7248100</v>
      </c>
      <c r="F1048" s="6"/>
      <c r="G1048" s="7">
        <f t="shared" si="64"/>
        <v>1999860</v>
      </c>
      <c r="H1048" s="12">
        <f t="shared" si="65"/>
        <v>1.7475894429623062</v>
      </c>
      <c r="I1048" s="12">
        <f t="shared" si="66"/>
        <v>77.005447359035387</v>
      </c>
      <c r="J1048">
        <f t="shared" si="67"/>
        <v>39388</v>
      </c>
      <c r="M1048" s="5" t="s">
        <v>143</v>
      </c>
      <c r="N1048" s="7">
        <v>1999860</v>
      </c>
    </row>
    <row r="1049" spans="1:14" x14ac:dyDescent="0.3">
      <c r="A1049" s="5" t="s">
        <v>143</v>
      </c>
      <c r="B1049" s="6" t="s">
        <v>9</v>
      </c>
      <c r="C1049" s="6">
        <v>9426892</v>
      </c>
      <c r="D1049" s="6">
        <v>142449</v>
      </c>
      <c r="E1049" s="6">
        <v>8169381</v>
      </c>
      <c r="F1049" s="6"/>
      <c r="G1049" s="7">
        <f t="shared" si="64"/>
        <v>1115062</v>
      </c>
      <c r="H1049" s="12">
        <f t="shared" si="65"/>
        <v>1.5110918847908728</v>
      </c>
      <c r="I1049" s="12">
        <f t="shared" si="66"/>
        <v>86.660386053006661</v>
      </c>
      <c r="J1049">
        <f t="shared" si="67"/>
        <v>14441</v>
      </c>
      <c r="M1049" s="5" t="s">
        <v>143</v>
      </c>
      <c r="N1049" s="7">
        <v>1115062</v>
      </c>
    </row>
    <row r="1050" spans="1:14" x14ac:dyDescent="0.3">
      <c r="A1050" s="5" t="s">
        <v>144</v>
      </c>
      <c r="B1050" s="6" t="s">
        <v>9</v>
      </c>
      <c r="C1050" s="6">
        <v>9444049</v>
      </c>
      <c r="D1050" s="6">
        <v>148928</v>
      </c>
      <c r="E1050" s="6">
        <v>7743486</v>
      </c>
      <c r="F1050" s="6"/>
      <c r="G1050" s="7">
        <f t="shared" si="64"/>
        <v>1551635</v>
      </c>
      <c r="H1050" s="12">
        <f t="shared" si="65"/>
        <v>1.5769507337371929</v>
      </c>
      <c r="I1050" s="12">
        <f t="shared" si="66"/>
        <v>81.993284871774804</v>
      </c>
      <c r="J1050">
        <f t="shared" si="67"/>
        <v>17157</v>
      </c>
      <c r="M1050" s="5" t="s">
        <v>144</v>
      </c>
      <c r="N1050" s="7">
        <v>1551635</v>
      </c>
    </row>
    <row r="1051" spans="1:14" x14ac:dyDescent="0.3">
      <c r="A1051" s="5" t="s">
        <v>144</v>
      </c>
      <c r="B1051" s="6" t="s">
        <v>9</v>
      </c>
      <c r="C1051" s="6">
        <v>9451670</v>
      </c>
      <c r="D1051" s="6">
        <v>141270</v>
      </c>
      <c r="E1051" s="6">
        <v>6936212</v>
      </c>
      <c r="F1051" s="6"/>
      <c r="G1051" s="7">
        <f t="shared" si="64"/>
        <v>2374188</v>
      </c>
      <c r="H1051" s="12">
        <f t="shared" si="65"/>
        <v>1.4946564998566392</v>
      </c>
      <c r="I1051" s="12">
        <f t="shared" si="66"/>
        <v>73.3861000225357</v>
      </c>
      <c r="J1051">
        <f t="shared" si="67"/>
        <v>7621</v>
      </c>
      <c r="M1051" s="5" t="s">
        <v>144</v>
      </c>
      <c r="N1051" s="7">
        <v>2374188</v>
      </c>
    </row>
    <row r="1052" spans="1:14" x14ac:dyDescent="0.3">
      <c r="A1052" s="5" t="s">
        <v>144</v>
      </c>
      <c r="B1052" s="6" t="s">
        <v>7</v>
      </c>
      <c r="C1052" s="6">
        <v>6839530</v>
      </c>
      <c r="D1052" s="6">
        <v>165275</v>
      </c>
      <c r="E1052" s="6">
        <v>5044993</v>
      </c>
      <c r="F1052" s="6"/>
      <c r="G1052" s="7">
        <f t="shared" si="64"/>
        <v>1629262</v>
      </c>
      <c r="H1052" s="12">
        <f t="shared" si="65"/>
        <v>2.4164672133903937</v>
      </c>
      <c r="I1052" s="12">
        <f t="shared" si="66"/>
        <v>73.762276062828875</v>
      </c>
      <c r="J1052" t="str">
        <f t="shared" si="67"/>
        <v/>
      </c>
      <c r="M1052" s="5" t="s">
        <v>144</v>
      </c>
      <c r="N1052" s="7">
        <v>1629262</v>
      </c>
    </row>
    <row r="1053" spans="1:14" x14ac:dyDescent="0.3">
      <c r="A1053" s="5" t="s">
        <v>144</v>
      </c>
      <c r="B1053" s="6" t="s">
        <v>7</v>
      </c>
      <c r="C1053" s="6">
        <v>6884500</v>
      </c>
      <c r="D1053" s="6">
        <v>134553</v>
      </c>
      <c r="E1053" s="6">
        <v>5453689</v>
      </c>
      <c r="F1053" s="6"/>
      <c r="G1053" s="7">
        <f t="shared" si="64"/>
        <v>1296258</v>
      </c>
      <c r="H1053" s="12">
        <f t="shared" si="65"/>
        <v>1.9544338731934057</v>
      </c>
      <c r="I1053" s="12">
        <f t="shared" si="66"/>
        <v>79.21692207131963</v>
      </c>
      <c r="J1053">
        <f t="shared" si="67"/>
        <v>44970</v>
      </c>
      <c r="M1053" s="5" t="s">
        <v>144</v>
      </c>
      <c r="N1053" s="7">
        <v>1296258</v>
      </c>
    </row>
    <row r="1054" spans="1:14" x14ac:dyDescent="0.3">
      <c r="A1054" s="5" t="s">
        <v>144</v>
      </c>
      <c r="B1054" s="6" t="s">
        <v>7</v>
      </c>
      <c r="C1054" s="6">
        <v>6892400</v>
      </c>
      <c r="D1054" s="6">
        <v>119697</v>
      </c>
      <c r="E1054" s="6">
        <v>6062650</v>
      </c>
      <c r="F1054" s="6"/>
      <c r="G1054" s="7">
        <f t="shared" si="64"/>
        <v>710053</v>
      </c>
      <c r="H1054" s="12">
        <f t="shared" si="65"/>
        <v>1.7366519644826186</v>
      </c>
      <c r="I1054" s="12">
        <f t="shared" si="66"/>
        <v>87.961377749405145</v>
      </c>
      <c r="J1054">
        <f t="shared" si="67"/>
        <v>7900</v>
      </c>
      <c r="M1054" s="5" t="s">
        <v>144</v>
      </c>
      <c r="N1054" s="7">
        <v>710053</v>
      </c>
    </row>
    <row r="1055" spans="1:14" x14ac:dyDescent="0.3">
      <c r="A1055" s="5" t="s">
        <v>144</v>
      </c>
      <c r="B1055" s="6" t="s">
        <v>7</v>
      </c>
      <c r="C1055" s="6">
        <v>6907366</v>
      </c>
      <c r="D1055" s="6">
        <v>87310</v>
      </c>
      <c r="E1055" s="6">
        <v>5437601</v>
      </c>
      <c r="F1055" s="6"/>
      <c r="G1055" s="7">
        <f t="shared" si="64"/>
        <v>1382455</v>
      </c>
      <c r="H1055" s="12">
        <f t="shared" si="65"/>
        <v>1.2640129392303812</v>
      </c>
      <c r="I1055" s="12">
        <f t="shared" si="66"/>
        <v>78.72177324902141</v>
      </c>
      <c r="J1055">
        <f t="shared" si="67"/>
        <v>14966</v>
      </c>
      <c r="M1055" s="5" t="s">
        <v>144</v>
      </c>
      <c r="N1055" s="7">
        <v>1382455</v>
      </c>
    </row>
    <row r="1056" spans="1:14" x14ac:dyDescent="0.3">
      <c r="A1056" s="5" t="s">
        <v>144</v>
      </c>
      <c r="B1056" s="6" t="s">
        <v>7</v>
      </c>
      <c r="C1056" s="6">
        <v>6945211</v>
      </c>
      <c r="D1056" s="6">
        <v>166370</v>
      </c>
      <c r="E1056" s="6">
        <v>5361339</v>
      </c>
      <c r="F1056" s="6"/>
      <c r="G1056" s="7">
        <f t="shared" si="64"/>
        <v>1417502</v>
      </c>
      <c r="H1056" s="12">
        <f t="shared" si="65"/>
        <v>2.3954635791482795</v>
      </c>
      <c r="I1056" s="12">
        <f t="shared" si="66"/>
        <v>77.194760533553264</v>
      </c>
      <c r="J1056">
        <f t="shared" si="67"/>
        <v>37845</v>
      </c>
      <c r="M1056" s="5" t="s">
        <v>144</v>
      </c>
      <c r="N1056" s="7">
        <v>1417502</v>
      </c>
    </row>
    <row r="1057" spans="1:14" x14ac:dyDescent="0.3">
      <c r="A1057" s="5" t="s">
        <v>144</v>
      </c>
      <c r="B1057" s="6" t="s">
        <v>7</v>
      </c>
      <c r="C1057" s="6">
        <v>6990123</v>
      </c>
      <c r="D1057" s="6">
        <v>156121</v>
      </c>
      <c r="E1057" s="6">
        <v>5571960</v>
      </c>
      <c r="F1057" s="6"/>
      <c r="G1057" s="7">
        <f t="shared" si="64"/>
        <v>1262042</v>
      </c>
      <c r="H1057" s="12">
        <f t="shared" si="65"/>
        <v>2.2334513999252943</v>
      </c>
      <c r="I1057" s="12">
        <f t="shared" si="66"/>
        <v>79.711902065242626</v>
      </c>
      <c r="J1057">
        <f t="shared" si="67"/>
        <v>44912</v>
      </c>
      <c r="M1057" s="5" t="s">
        <v>144</v>
      </c>
      <c r="N1057" s="7">
        <v>1262042</v>
      </c>
    </row>
    <row r="1058" spans="1:14" x14ac:dyDescent="0.3">
      <c r="A1058" s="5" t="s">
        <v>145</v>
      </c>
      <c r="B1058" s="6" t="s">
        <v>7</v>
      </c>
      <c r="C1058" s="6">
        <v>7006261</v>
      </c>
      <c r="D1058" s="6">
        <v>205506</v>
      </c>
      <c r="E1058" s="6">
        <v>5266635</v>
      </c>
      <c r="F1058" s="6"/>
      <c r="G1058" s="7">
        <f t="shared" si="64"/>
        <v>1534120</v>
      </c>
      <c r="H1058" s="12">
        <f t="shared" si="65"/>
        <v>2.9331764831484297</v>
      </c>
      <c r="I1058" s="12">
        <f t="shared" si="66"/>
        <v>75.170408296236758</v>
      </c>
      <c r="J1058">
        <f t="shared" si="67"/>
        <v>16138</v>
      </c>
      <c r="M1058" s="5" t="s">
        <v>145</v>
      </c>
      <c r="N1058" s="7">
        <v>1534120</v>
      </c>
    </row>
    <row r="1059" spans="1:14" x14ac:dyDescent="0.3">
      <c r="A1059" s="5" t="s">
        <v>145</v>
      </c>
      <c r="B1059" s="6" t="s">
        <v>7</v>
      </c>
      <c r="C1059" s="6">
        <v>7033452</v>
      </c>
      <c r="D1059" s="6">
        <v>145177</v>
      </c>
      <c r="E1059" s="6">
        <v>5170617</v>
      </c>
      <c r="F1059" s="6"/>
      <c r="G1059" s="7">
        <f t="shared" si="64"/>
        <v>1717658</v>
      </c>
      <c r="H1059" s="12">
        <f t="shared" si="65"/>
        <v>2.0640931366276476</v>
      </c>
      <c r="I1059" s="12">
        <f t="shared" si="66"/>
        <v>73.514641174774482</v>
      </c>
      <c r="J1059">
        <f t="shared" si="67"/>
        <v>27191</v>
      </c>
      <c r="M1059" s="5" t="s">
        <v>145</v>
      </c>
      <c r="N1059" s="7">
        <v>1717658</v>
      </c>
    </row>
    <row r="1060" spans="1:14" x14ac:dyDescent="0.3">
      <c r="A1060" s="5" t="s">
        <v>145</v>
      </c>
      <c r="B1060" s="6" t="s">
        <v>7</v>
      </c>
      <c r="C1060" s="6">
        <v>7044060</v>
      </c>
      <c r="D1060" s="6">
        <v>101530</v>
      </c>
      <c r="E1060" s="6">
        <v>5219844</v>
      </c>
      <c r="F1060" s="6"/>
      <c r="G1060" s="7">
        <f t="shared" si="64"/>
        <v>1722686</v>
      </c>
      <c r="H1060" s="12">
        <f t="shared" si="65"/>
        <v>1.4413562632913406</v>
      </c>
      <c r="I1060" s="12">
        <f t="shared" si="66"/>
        <v>74.102775955911795</v>
      </c>
      <c r="J1060">
        <f t="shared" si="67"/>
        <v>10608</v>
      </c>
      <c r="M1060" s="5" t="s">
        <v>145</v>
      </c>
      <c r="N1060" s="7">
        <v>1722686</v>
      </c>
    </row>
    <row r="1061" spans="1:14" x14ac:dyDescent="0.3">
      <c r="A1061" s="5" t="s">
        <v>145</v>
      </c>
      <c r="B1061" s="6" t="s">
        <v>7</v>
      </c>
      <c r="C1061" s="6">
        <v>7075213</v>
      </c>
      <c r="D1061" s="6">
        <v>91149</v>
      </c>
      <c r="E1061" s="6">
        <v>6366797</v>
      </c>
      <c r="F1061" s="6"/>
      <c r="G1061" s="7">
        <f t="shared" si="64"/>
        <v>617267</v>
      </c>
      <c r="H1061" s="12">
        <f t="shared" si="65"/>
        <v>1.2882863031826746</v>
      </c>
      <c r="I1061" s="12">
        <f t="shared" si="66"/>
        <v>89.987354444311435</v>
      </c>
      <c r="J1061">
        <f t="shared" si="67"/>
        <v>31153</v>
      </c>
      <c r="M1061" s="5" t="s">
        <v>145</v>
      </c>
      <c r="N1061" s="7">
        <v>617267</v>
      </c>
    </row>
    <row r="1062" spans="1:14" x14ac:dyDescent="0.3">
      <c r="A1062" s="5" t="s">
        <v>145</v>
      </c>
      <c r="B1062" s="6" t="s">
        <v>7</v>
      </c>
      <c r="C1062" s="6">
        <v>7090685</v>
      </c>
      <c r="D1062" s="6">
        <v>181136</v>
      </c>
      <c r="E1062" s="6">
        <v>6313394</v>
      </c>
      <c r="F1062" s="6"/>
      <c r="G1062" s="7">
        <f t="shared" si="64"/>
        <v>596155</v>
      </c>
      <c r="H1062" s="12">
        <f t="shared" si="65"/>
        <v>2.5545627820161241</v>
      </c>
      <c r="I1062" s="12">
        <f t="shared" si="66"/>
        <v>89.037857414340081</v>
      </c>
      <c r="J1062">
        <f t="shared" si="67"/>
        <v>15472</v>
      </c>
      <c r="M1062" s="5" t="s">
        <v>145</v>
      </c>
      <c r="N1062" s="7">
        <v>596155</v>
      </c>
    </row>
    <row r="1063" spans="1:14" x14ac:dyDescent="0.3">
      <c r="A1063" s="5" t="s">
        <v>145</v>
      </c>
      <c r="B1063" s="6" t="s">
        <v>7</v>
      </c>
      <c r="C1063" s="6">
        <v>7104919</v>
      </c>
      <c r="D1063" s="6">
        <v>142563</v>
      </c>
      <c r="E1063" s="6">
        <v>5592406</v>
      </c>
      <c r="F1063" s="6"/>
      <c r="G1063" s="7">
        <f t="shared" si="64"/>
        <v>1369950</v>
      </c>
      <c r="H1063" s="12">
        <f t="shared" si="65"/>
        <v>2.0065394130460881</v>
      </c>
      <c r="I1063" s="12">
        <f t="shared" si="66"/>
        <v>78.711748860191094</v>
      </c>
      <c r="J1063">
        <f t="shared" si="67"/>
        <v>14234</v>
      </c>
      <c r="M1063" s="5" t="s">
        <v>145</v>
      </c>
      <c r="N1063" s="7">
        <v>1369950</v>
      </c>
    </row>
    <row r="1064" spans="1:14" x14ac:dyDescent="0.3">
      <c r="A1064" s="5" t="s">
        <v>145</v>
      </c>
      <c r="B1064" s="6" t="s">
        <v>7</v>
      </c>
      <c r="C1064" s="6">
        <v>7118460</v>
      </c>
      <c r="D1064" s="6">
        <v>180542</v>
      </c>
      <c r="E1064" s="6">
        <v>5700154</v>
      </c>
      <c r="F1064" s="6"/>
      <c r="G1064" s="7">
        <f t="shared" si="64"/>
        <v>1237764</v>
      </c>
      <c r="H1064" s="12">
        <f t="shared" si="65"/>
        <v>2.5362508182949681</v>
      </c>
      <c r="I1064" s="12">
        <f t="shared" si="66"/>
        <v>80.075662432604801</v>
      </c>
      <c r="J1064">
        <f t="shared" si="67"/>
        <v>13541</v>
      </c>
      <c r="M1064" s="5" t="s">
        <v>145</v>
      </c>
      <c r="N1064" s="7">
        <v>1237764</v>
      </c>
    </row>
    <row r="1065" spans="1:14" x14ac:dyDescent="0.3">
      <c r="A1065" s="5" t="s">
        <v>145</v>
      </c>
      <c r="B1065" s="6" t="s">
        <v>7</v>
      </c>
      <c r="C1065" s="6">
        <v>7143547</v>
      </c>
      <c r="D1065" s="6">
        <v>193883</v>
      </c>
      <c r="E1065" s="6">
        <v>5198986</v>
      </c>
      <c r="F1065" s="6"/>
      <c r="G1065" s="7">
        <f t="shared" si="64"/>
        <v>1750678</v>
      </c>
      <c r="H1065" s="12">
        <f t="shared" si="65"/>
        <v>2.7140998722343395</v>
      </c>
      <c r="I1065" s="12">
        <f t="shared" si="66"/>
        <v>72.77877502590799</v>
      </c>
      <c r="J1065">
        <f t="shared" si="67"/>
        <v>25087</v>
      </c>
      <c r="M1065" s="5" t="s">
        <v>145</v>
      </c>
      <c r="N1065" s="7">
        <v>1750678</v>
      </c>
    </row>
    <row r="1066" spans="1:14" x14ac:dyDescent="0.3">
      <c r="A1066" s="5" t="s">
        <v>146</v>
      </c>
      <c r="B1066" s="6" t="s">
        <v>7</v>
      </c>
      <c r="C1066" s="6">
        <v>7169490</v>
      </c>
      <c r="D1066" s="6">
        <v>79662</v>
      </c>
      <c r="E1066" s="6">
        <v>5683875</v>
      </c>
      <c r="F1066" s="6"/>
      <c r="G1066" s="7">
        <f t="shared" si="64"/>
        <v>1405953</v>
      </c>
      <c r="H1066" s="12">
        <f t="shared" si="65"/>
        <v>1.1111250591046224</v>
      </c>
      <c r="I1066" s="12">
        <f t="shared" si="66"/>
        <v>79.278651619571278</v>
      </c>
      <c r="J1066">
        <f t="shared" si="67"/>
        <v>25943</v>
      </c>
      <c r="M1066" s="5" t="s">
        <v>146</v>
      </c>
      <c r="N1066" s="7">
        <v>1405953</v>
      </c>
    </row>
    <row r="1067" spans="1:14" x14ac:dyDescent="0.3">
      <c r="A1067" s="5" t="s">
        <v>146</v>
      </c>
      <c r="B1067" s="6" t="s">
        <v>7</v>
      </c>
      <c r="C1067" s="6">
        <v>7173537</v>
      </c>
      <c r="D1067" s="6">
        <v>109915</v>
      </c>
      <c r="E1067" s="6">
        <v>6360786</v>
      </c>
      <c r="F1067" s="6"/>
      <c r="G1067" s="7">
        <f t="shared" si="64"/>
        <v>702836</v>
      </c>
      <c r="H1067" s="12">
        <f t="shared" si="65"/>
        <v>1.5322288014963887</v>
      </c>
      <c r="I1067" s="12">
        <f t="shared" si="66"/>
        <v>88.670149746213056</v>
      </c>
      <c r="J1067">
        <f t="shared" si="67"/>
        <v>4047</v>
      </c>
      <c r="M1067" s="5" t="s">
        <v>146</v>
      </c>
      <c r="N1067" s="7">
        <v>702836</v>
      </c>
    </row>
    <row r="1068" spans="1:14" x14ac:dyDescent="0.3">
      <c r="A1068" s="5" t="s">
        <v>146</v>
      </c>
      <c r="B1068" s="6" t="s">
        <v>7</v>
      </c>
      <c r="C1068" s="6">
        <v>7204306</v>
      </c>
      <c r="D1068" s="6">
        <v>118369</v>
      </c>
      <c r="E1068" s="6">
        <v>5466828</v>
      </c>
      <c r="F1068" s="6"/>
      <c r="G1068" s="7">
        <f t="shared" si="64"/>
        <v>1619109</v>
      </c>
      <c r="H1068" s="12">
        <f t="shared" si="65"/>
        <v>1.6430312649129561</v>
      </c>
      <c r="I1068" s="12">
        <f t="shared" si="66"/>
        <v>75.882784545798032</v>
      </c>
      <c r="J1068">
        <f t="shared" si="67"/>
        <v>30769</v>
      </c>
      <c r="M1068" s="5" t="s">
        <v>146</v>
      </c>
      <c r="N1068" s="7">
        <v>1619109</v>
      </c>
    </row>
    <row r="1069" spans="1:14" x14ac:dyDescent="0.3">
      <c r="A1069" s="5" t="s">
        <v>146</v>
      </c>
      <c r="B1069" s="6" t="s">
        <v>7</v>
      </c>
      <c r="C1069" s="6">
        <v>7222278</v>
      </c>
      <c r="D1069" s="6">
        <v>107750</v>
      </c>
      <c r="E1069" s="6">
        <v>5719373</v>
      </c>
      <c r="F1069" s="6"/>
      <c r="G1069" s="7">
        <f t="shared" si="64"/>
        <v>1395155</v>
      </c>
      <c r="H1069" s="12">
        <f t="shared" si="65"/>
        <v>1.491911554775377</v>
      </c>
      <c r="I1069" s="12">
        <f t="shared" si="66"/>
        <v>79.190706865617742</v>
      </c>
      <c r="J1069">
        <f t="shared" si="67"/>
        <v>17972</v>
      </c>
      <c r="M1069" s="5" t="s">
        <v>146</v>
      </c>
      <c r="N1069" s="7">
        <v>1395155</v>
      </c>
    </row>
    <row r="1070" spans="1:14" x14ac:dyDescent="0.3">
      <c r="A1070" s="5" t="s">
        <v>146</v>
      </c>
      <c r="B1070" s="6" t="s">
        <v>7</v>
      </c>
      <c r="C1070" s="6">
        <v>7244818</v>
      </c>
      <c r="D1070" s="6">
        <v>210066</v>
      </c>
      <c r="E1070" s="6">
        <v>6250679</v>
      </c>
      <c r="F1070" s="6"/>
      <c r="G1070" s="7">
        <f t="shared" si="64"/>
        <v>784073</v>
      </c>
      <c r="H1070" s="12">
        <f t="shared" si="65"/>
        <v>2.8995345362713048</v>
      </c>
      <c r="I1070" s="12">
        <f t="shared" si="66"/>
        <v>86.277929963181961</v>
      </c>
      <c r="J1070">
        <f t="shared" si="67"/>
        <v>22540</v>
      </c>
      <c r="M1070" s="5" t="s">
        <v>146</v>
      </c>
      <c r="N1070" s="7">
        <v>784073</v>
      </c>
    </row>
    <row r="1071" spans="1:14" x14ac:dyDescent="0.3">
      <c r="A1071" s="5" t="s">
        <v>146</v>
      </c>
      <c r="B1071" s="6" t="s">
        <v>7</v>
      </c>
      <c r="C1071" s="6">
        <v>7272346</v>
      </c>
      <c r="D1071" s="6">
        <v>206292</v>
      </c>
      <c r="E1071" s="6">
        <v>5369397</v>
      </c>
      <c r="F1071" s="6"/>
      <c r="G1071" s="7">
        <f t="shared" si="64"/>
        <v>1696657</v>
      </c>
      <c r="H1071" s="12">
        <f t="shared" si="65"/>
        <v>2.8366637120951066</v>
      </c>
      <c r="I1071" s="12">
        <f t="shared" si="66"/>
        <v>73.833079449190123</v>
      </c>
      <c r="J1071">
        <f t="shared" si="67"/>
        <v>27528</v>
      </c>
      <c r="M1071" s="5" t="s">
        <v>146</v>
      </c>
      <c r="N1071" s="7">
        <v>1696657</v>
      </c>
    </row>
    <row r="1072" spans="1:14" x14ac:dyDescent="0.3">
      <c r="A1072" s="5" t="s">
        <v>146</v>
      </c>
      <c r="B1072" s="6" t="s">
        <v>7</v>
      </c>
      <c r="C1072" s="6">
        <v>7293609</v>
      </c>
      <c r="D1072" s="6">
        <v>162418</v>
      </c>
      <c r="E1072" s="6">
        <v>5785311</v>
      </c>
      <c r="F1072" s="6"/>
      <c r="G1072" s="7">
        <f t="shared" si="64"/>
        <v>1345880</v>
      </c>
      <c r="H1072" s="12">
        <f t="shared" si="65"/>
        <v>2.2268536742235567</v>
      </c>
      <c r="I1072" s="12">
        <f t="shared" si="66"/>
        <v>79.32027889073845</v>
      </c>
      <c r="J1072">
        <f t="shared" si="67"/>
        <v>21263</v>
      </c>
      <c r="M1072" s="5" t="s">
        <v>146</v>
      </c>
      <c r="N1072" s="7">
        <v>1345880</v>
      </c>
    </row>
    <row r="1073" spans="1:14" x14ac:dyDescent="0.3">
      <c r="A1073" s="5" t="s">
        <v>146</v>
      </c>
      <c r="B1073" s="6" t="s">
        <v>7</v>
      </c>
      <c r="C1073" s="6">
        <v>7339146</v>
      </c>
      <c r="D1073" s="6">
        <v>124923</v>
      </c>
      <c r="E1073" s="6">
        <v>5373850</v>
      </c>
      <c r="F1073" s="6"/>
      <c r="G1073" s="7">
        <f t="shared" si="64"/>
        <v>1840373</v>
      </c>
      <c r="H1073" s="12">
        <f t="shared" si="65"/>
        <v>1.702146271514424</v>
      </c>
      <c r="I1073" s="12">
        <f t="shared" si="66"/>
        <v>73.221734517885324</v>
      </c>
      <c r="J1073">
        <f t="shared" si="67"/>
        <v>45537</v>
      </c>
      <c r="M1073" s="5" t="s">
        <v>146</v>
      </c>
      <c r="N1073" s="7">
        <v>1840373</v>
      </c>
    </row>
    <row r="1074" spans="1:14" x14ac:dyDescent="0.3">
      <c r="A1074" s="5" t="s">
        <v>147</v>
      </c>
      <c r="B1074" s="6" t="s">
        <v>7</v>
      </c>
      <c r="C1074" s="6">
        <v>7356547</v>
      </c>
      <c r="D1074" s="6">
        <v>116748</v>
      </c>
      <c r="E1074" s="6">
        <v>5207246</v>
      </c>
      <c r="F1074" s="6"/>
      <c r="G1074" s="7">
        <f t="shared" si="64"/>
        <v>2032553</v>
      </c>
      <c r="H1074" s="12">
        <f t="shared" si="65"/>
        <v>1.5869945505683578</v>
      </c>
      <c r="I1074" s="12">
        <f t="shared" si="66"/>
        <v>70.783833774187812</v>
      </c>
      <c r="J1074">
        <f t="shared" si="67"/>
        <v>17401</v>
      </c>
      <c r="M1074" s="5" t="s">
        <v>147</v>
      </c>
      <c r="N1074" s="7">
        <v>2032553</v>
      </c>
    </row>
    <row r="1075" spans="1:14" x14ac:dyDescent="0.3">
      <c r="A1075" s="5" t="s">
        <v>147</v>
      </c>
      <c r="B1075" s="6" t="s">
        <v>7</v>
      </c>
      <c r="C1075" s="6">
        <v>7375540</v>
      </c>
      <c r="D1075" s="6">
        <v>156765</v>
      </c>
      <c r="E1075" s="6">
        <v>6245294</v>
      </c>
      <c r="F1075" s="6"/>
      <c r="G1075" s="7">
        <f t="shared" si="64"/>
        <v>973481</v>
      </c>
      <c r="H1075" s="12">
        <f t="shared" si="65"/>
        <v>2.1254714909010053</v>
      </c>
      <c r="I1075" s="12">
        <f t="shared" si="66"/>
        <v>84.675752555067149</v>
      </c>
      <c r="J1075">
        <f t="shared" si="67"/>
        <v>18993</v>
      </c>
      <c r="M1075" s="5" t="s">
        <v>147</v>
      </c>
      <c r="N1075" s="7">
        <v>973481</v>
      </c>
    </row>
    <row r="1076" spans="1:14" x14ac:dyDescent="0.3">
      <c r="A1076" s="5" t="s">
        <v>147</v>
      </c>
      <c r="B1076" s="6" t="s">
        <v>7</v>
      </c>
      <c r="C1076" s="6">
        <v>7391053</v>
      </c>
      <c r="D1076" s="6">
        <v>84091</v>
      </c>
      <c r="E1076" s="6">
        <v>5547275</v>
      </c>
      <c r="F1076" s="6"/>
      <c r="G1076" s="7">
        <f t="shared" si="64"/>
        <v>1759687</v>
      </c>
      <c r="H1076" s="12">
        <f t="shared" si="65"/>
        <v>1.1377404545739287</v>
      </c>
      <c r="I1076" s="12">
        <f t="shared" si="66"/>
        <v>75.053919921829817</v>
      </c>
      <c r="J1076">
        <f t="shared" si="67"/>
        <v>15513</v>
      </c>
      <c r="M1076" s="5" t="s">
        <v>147</v>
      </c>
      <c r="N1076" s="7">
        <v>1759687</v>
      </c>
    </row>
    <row r="1077" spans="1:14" x14ac:dyDescent="0.3">
      <c r="A1077" s="5" t="s">
        <v>147</v>
      </c>
      <c r="B1077" s="6" t="s">
        <v>7</v>
      </c>
      <c r="C1077" s="6">
        <v>7393393</v>
      </c>
      <c r="D1077" s="6">
        <v>147027</v>
      </c>
      <c r="E1077" s="6">
        <v>6392555</v>
      </c>
      <c r="F1077" s="6"/>
      <c r="G1077" s="7">
        <f t="shared" si="64"/>
        <v>853811</v>
      </c>
      <c r="H1077" s="12">
        <f t="shared" si="65"/>
        <v>1.9886268726686109</v>
      </c>
      <c r="I1077" s="12">
        <f t="shared" si="66"/>
        <v>86.463075884103546</v>
      </c>
      <c r="J1077">
        <f t="shared" si="67"/>
        <v>2340</v>
      </c>
      <c r="M1077" s="5" t="s">
        <v>147</v>
      </c>
      <c r="N1077" s="7">
        <v>853811</v>
      </c>
    </row>
    <row r="1078" spans="1:14" x14ac:dyDescent="0.3">
      <c r="A1078" s="5" t="s">
        <v>147</v>
      </c>
      <c r="B1078" s="6" t="s">
        <v>7</v>
      </c>
      <c r="C1078" s="6">
        <v>7413339</v>
      </c>
      <c r="D1078" s="6">
        <v>173367</v>
      </c>
      <c r="E1078" s="6">
        <v>6586013</v>
      </c>
      <c r="F1078" s="6"/>
      <c r="G1078" s="7">
        <f t="shared" si="64"/>
        <v>653959</v>
      </c>
      <c r="H1078" s="12">
        <f t="shared" si="65"/>
        <v>2.3385818455084815</v>
      </c>
      <c r="I1078" s="12">
        <f t="shared" si="66"/>
        <v>88.84003550896567</v>
      </c>
      <c r="J1078">
        <f t="shared" si="67"/>
        <v>19946</v>
      </c>
      <c r="M1078" s="5" t="s">
        <v>147</v>
      </c>
      <c r="N1078" s="7">
        <v>653959</v>
      </c>
    </row>
    <row r="1079" spans="1:14" x14ac:dyDescent="0.3">
      <c r="A1079" s="5" t="s">
        <v>147</v>
      </c>
      <c r="B1079" s="6" t="s">
        <v>7</v>
      </c>
      <c r="C1079" s="6">
        <v>7455917</v>
      </c>
      <c r="D1079" s="6">
        <v>174445</v>
      </c>
      <c r="E1079" s="6">
        <v>6357174</v>
      </c>
      <c r="F1079" s="6"/>
      <c r="G1079" s="7">
        <f t="shared" si="64"/>
        <v>924298</v>
      </c>
      <c r="H1079" s="12">
        <f t="shared" si="65"/>
        <v>2.3396853800813502</v>
      </c>
      <c r="I1079" s="12">
        <f t="shared" si="66"/>
        <v>85.263475974853264</v>
      </c>
      <c r="J1079">
        <f t="shared" si="67"/>
        <v>42578</v>
      </c>
      <c r="M1079" s="5" t="s">
        <v>147</v>
      </c>
      <c r="N1079" s="7">
        <v>924298</v>
      </c>
    </row>
    <row r="1080" spans="1:14" x14ac:dyDescent="0.3">
      <c r="A1080" s="5" t="s">
        <v>147</v>
      </c>
      <c r="B1080" s="6" t="s">
        <v>7</v>
      </c>
      <c r="C1080" s="6">
        <v>7502006</v>
      </c>
      <c r="D1080" s="6">
        <v>171903</v>
      </c>
      <c r="E1080" s="6">
        <v>6155778</v>
      </c>
      <c r="F1080" s="6"/>
      <c r="G1080" s="7">
        <f t="shared" si="64"/>
        <v>1174325</v>
      </c>
      <c r="H1080" s="12">
        <f t="shared" si="65"/>
        <v>2.291427119626404</v>
      </c>
      <c r="I1080" s="12">
        <f t="shared" si="66"/>
        <v>82.055092997792855</v>
      </c>
      <c r="J1080">
        <f t="shared" si="67"/>
        <v>46089</v>
      </c>
      <c r="M1080" s="5" t="s">
        <v>147</v>
      </c>
      <c r="N1080" s="7">
        <v>1174325</v>
      </c>
    </row>
    <row r="1081" spans="1:14" x14ac:dyDescent="0.3">
      <c r="A1081" s="5" t="s">
        <v>147</v>
      </c>
      <c r="B1081" s="6" t="s">
        <v>7</v>
      </c>
      <c r="C1081" s="6">
        <v>7504806</v>
      </c>
      <c r="D1081" s="6">
        <v>219545</v>
      </c>
      <c r="E1081" s="6">
        <v>5889205</v>
      </c>
      <c r="F1081" s="6"/>
      <c r="G1081" s="7">
        <f t="shared" si="64"/>
        <v>1396056</v>
      </c>
      <c r="H1081" s="12">
        <f t="shared" si="65"/>
        <v>2.9253920754247345</v>
      </c>
      <c r="I1081" s="12">
        <f t="shared" si="66"/>
        <v>78.472448188534116</v>
      </c>
      <c r="J1081">
        <f t="shared" si="67"/>
        <v>2800</v>
      </c>
      <c r="M1081" s="5" t="s">
        <v>147</v>
      </c>
      <c r="N1081" s="7">
        <v>1396056</v>
      </c>
    </row>
    <row r="1082" spans="1:14" x14ac:dyDescent="0.3">
      <c r="A1082" s="5" t="s">
        <v>148</v>
      </c>
      <c r="B1082" s="6" t="s">
        <v>7</v>
      </c>
      <c r="C1082" s="6">
        <v>7524703</v>
      </c>
      <c r="D1082" s="6">
        <v>80451</v>
      </c>
      <c r="E1082" s="6">
        <v>6587746</v>
      </c>
      <c r="F1082" s="6"/>
      <c r="G1082" s="7">
        <f t="shared" si="64"/>
        <v>856506</v>
      </c>
      <c r="H1082" s="12">
        <f t="shared" si="65"/>
        <v>1.0691584770854079</v>
      </c>
      <c r="I1082" s="12">
        <f t="shared" si="66"/>
        <v>87.548252735024889</v>
      </c>
      <c r="J1082">
        <f t="shared" si="67"/>
        <v>19897</v>
      </c>
      <c r="M1082" s="5" t="s">
        <v>148</v>
      </c>
      <c r="N1082" s="7">
        <v>856506</v>
      </c>
    </row>
    <row r="1083" spans="1:14" x14ac:dyDescent="0.3">
      <c r="A1083" s="5" t="s">
        <v>148</v>
      </c>
      <c r="B1083" s="6" t="s">
        <v>7</v>
      </c>
      <c r="C1083" s="6">
        <v>7558571</v>
      </c>
      <c r="D1083" s="6">
        <v>105263</v>
      </c>
      <c r="E1083" s="6">
        <v>6756257</v>
      </c>
      <c r="F1083" s="6"/>
      <c r="G1083" s="7">
        <f t="shared" si="64"/>
        <v>697051</v>
      </c>
      <c r="H1083" s="12">
        <f t="shared" si="65"/>
        <v>1.3926309615931372</v>
      </c>
      <c r="I1083" s="12">
        <f t="shared" si="66"/>
        <v>89.385374563525303</v>
      </c>
      <c r="J1083">
        <f t="shared" si="67"/>
        <v>33868</v>
      </c>
      <c r="M1083" s="5" t="s">
        <v>148</v>
      </c>
      <c r="N1083" s="7">
        <v>697051</v>
      </c>
    </row>
    <row r="1084" spans="1:14" x14ac:dyDescent="0.3">
      <c r="A1084" s="5" t="s">
        <v>148</v>
      </c>
      <c r="B1084" s="6" t="s">
        <v>7</v>
      </c>
      <c r="C1084" s="6">
        <v>7570035</v>
      </c>
      <c r="D1084" s="6">
        <v>80502</v>
      </c>
      <c r="E1084" s="6">
        <v>5727451</v>
      </c>
      <c r="F1084" s="6"/>
      <c r="G1084" s="7">
        <f t="shared" si="64"/>
        <v>1762082</v>
      </c>
      <c r="H1084" s="12">
        <f t="shared" si="65"/>
        <v>1.0634296935218925</v>
      </c>
      <c r="I1084" s="12">
        <f t="shared" si="66"/>
        <v>75.659504876793832</v>
      </c>
      <c r="J1084">
        <f t="shared" si="67"/>
        <v>11464</v>
      </c>
      <c r="M1084" s="5" t="s">
        <v>148</v>
      </c>
      <c r="N1084" s="7">
        <v>1762082</v>
      </c>
    </row>
    <row r="1085" spans="1:14" x14ac:dyDescent="0.3">
      <c r="A1085" s="5" t="s">
        <v>148</v>
      </c>
      <c r="B1085" s="6" t="s">
        <v>7</v>
      </c>
      <c r="C1085" s="6">
        <v>7609288</v>
      </c>
      <c r="D1085" s="6">
        <v>112385</v>
      </c>
      <c r="E1085" s="6">
        <v>5345587</v>
      </c>
      <c r="F1085" s="6"/>
      <c r="G1085" s="7">
        <f t="shared" si="64"/>
        <v>2151316</v>
      </c>
      <c r="H1085" s="12">
        <f t="shared" si="65"/>
        <v>1.4769450177204491</v>
      </c>
      <c r="I1085" s="12">
        <f t="shared" si="66"/>
        <v>70.250817159240128</v>
      </c>
      <c r="J1085">
        <f t="shared" si="67"/>
        <v>39253</v>
      </c>
      <c r="M1085" s="5" t="s">
        <v>148</v>
      </c>
      <c r="N1085" s="7">
        <v>2151316</v>
      </c>
    </row>
    <row r="1086" spans="1:14" x14ac:dyDescent="0.3">
      <c r="A1086" s="5" t="s">
        <v>148</v>
      </c>
      <c r="B1086" s="6" t="s">
        <v>7</v>
      </c>
      <c r="C1086" s="6">
        <v>7628849</v>
      </c>
      <c r="D1086" s="6">
        <v>125358</v>
      </c>
      <c r="E1086" s="6">
        <v>6210168</v>
      </c>
      <c r="F1086" s="6"/>
      <c r="G1086" s="7">
        <f t="shared" si="64"/>
        <v>1293323</v>
      </c>
      <c r="H1086" s="12">
        <f t="shared" si="65"/>
        <v>1.6432098734684617</v>
      </c>
      <c r="I1086" s="12">
        <f t="shared" si="66"/>
        <v>81.403734691825719</v>
      </c>
      <c r="J1086">
        <f t="shared" si="67"/>
        <v>19561</v>
      </c>
      <c r="M1086" s="5" t="s">
        <v>148</v>
      </c>
      <c r="N1086" s="7">
        <v>1293323</v>
      </c>
    </row>
    <row r="1087" spans="1:14" x14ac:dyDescent="0.3">
      <c r="A1087" s="5" t="s">
        <v>148</v>
      </c>
      <c r="B1087" s="6" t="s">
        <v>7</v>
      </c>
      <c r="C1087" s="6">
        <v>7654039</v>
      </c>
      <c r="D1087" s="6">
        <v>94432</v>
      </c>
      <c r="E1087" s="6">
        <v>5944128</v>
      </c>
      <c r="F1087" s="6"/>
      <c r="G1087" s="7">
        <f t="shared" si="64"/>
        <v>1615479</v>
      </c>
      <c r="H1087" s="12">
        <f t="shared" si="65"/>
        <v>1.2337538389861875</v>
      </c>
      <c r="I1087" s="12">
        <f t="shared" si="66"/>
        <v>77.660017149115646</v>
      </c>
      <c r="J1087">
        <f t="shared" si="67"/>
        <v>25190</v>
      </c>
      <c r="M1087" s="5" t="s">
        <v>148</v>
      </c>
      <c r="N1087" s="7">
        <v>1615479</v>
      </c>
    </row>
    <row r="1088" spans="1:14" x14ac:dyDescent="0.3">
      <c r="A1088" s="5" t="s">
        <v>148</v>
      </c>
      <c r="B1088" s="6" t="s">
        <v>7</v>
      </c>
      <c r="C1088" s="6">
        <v>7684455</v>
      </c>
      <c r="D1088" s="6">
        <v>181404</v>
      </c>
      <c r="E1088" s="6">
        <v>5799503</v>
      </c>
      <c r="F1088" s="6"/>
      <c r="G1088" s="7">
        <f t="shared" si="64"/>
        <v>1703548</v>
      </c>
      <c r="H1088" s="12">
        <f t="shared" si="65"/>
        <v>2.3606618816819149</v>
      </c>
      <c r="I1088" s="12">
        <f t="shared" si="66"/>
        <v>75.470583144803371</v>
      </c>
      <c r="J1088">
        <f t="shared" si="67"/>
        <v>30416</v>
      </c>
      <c r="M1088" s="5" t="s">
        <v>148</v>
      </c>
      <c r="N1088" s="7">
        <v>1703548</v>
      </c>
    </row>
    <row r="1089" spans="1:14" x14ac:dyDescent="0.3">
      <c r="A1089" s="5" t="s">
        <v>148</v>
      </c>
      <c r="B1089" s="6" t="s">
        <v>7</v>
      </c>
      <c r="C1089" s="6">
        <v>7708394</v>
      </c>
      <c r="D1089" s="6">
        <v>77518</v>
      </c>
      <c r="E1089" s="6">
        <v>6863270</v>
      </c>
      <c r="F1089" s="6"/>
      <c r="G1089" s="7">
        <f t="shared" si="64"/>
        <v>767606</v>
      </c>
      <c r="H1089" s="12">
        <f t="shared" si="65"/>
        <v>1.0056310043311227</v>
      </c>
      <c r="I1089" s="12">
        <f t="shared" si="66"/>
        <v>89.036315476349543</v>
      </c>
      <c r="J1089">
        <f t="shared" si="67"/>
        <v>23939</v>
      </c>
      <c r="M1089" s="5" t="s">
        <v>148</v>
      </c>
      <c r="N1089" s="7">
        <v>767606</v>
      </c>
    </row>
    <row r="1090" spans="1:14" x14ac:dyDescent="0.3">
      <c r="A1090" s="5" t="s">
        <v>149</v>
      </c>
      <c r="B1090" s="6" t="s">
        <v>7</v>
      </c>
      <c r="C1090" s="6">
        <v>7745911</v>
      </c>
      <c r="D1090" s="6">
        <v>207131</v>
      </c>
      <c r="E1090" s="6">
        <v>6584546</v>
      </c>
      <c r="F1090" s="6"/>
      <c r="G1090" s="7">
        <f t="shared" si="64"/>
        <v>954234</v>
      </c>
      <c r="H1090" s="12">
        <f t="shared" si="65"/>
        <v>2.6740689377918234</v>
      </c>
      <c r="I1090" s="12">
        <f t="shared" si="66"/>
        <v>85.006734520962084</v>
      </c>
      <c r="J1090">
        <f t="shared" si="67"/>
        <v>37517</v>
      </c>
      <c r="M1090" s="5" t="s">
        <v>149</v>
      </c>
      <c r="N1090" s="7">
        <v>954234</v>
      </c>
    </row>
    <row r="1091" spans="1:14" x14ac:dyDescent="0.3">
      <c r="A1091" s="5" t="s">
        <v>149</v>
      </c>
      <c r="B1091" s="6" t="s">
        <v>7</v>
      </c>
      <c r="C1091" s="6">
        <v>7782567</v>
      </c>
      <c r="D1091" s="6">
        <v>188849</v>
      </c>
      <c r="E1091" s="6">
        <v>5770357</v>
      </c>
      <c r="F1091" s="6"/>
      <c r="G1091" s="7">
        <f t="shared" ref="G1091:G1154" si="68" xml:space="preserve"> C1091-D1091-E1091</f>
        <v>1823361</v>
      </c>
      <c r="H1091" s="12">
        <f t="shared" ref="H1091:H1154" si="69">D1091/C1091*100</f>
        <v>2.4265643970684736</v>
      </c>
      <c r="I1091" s="12">
        <f t="shared" ref="I1091:I1154" si="70">E1091/C1091*100</f>
        <v>74.144649188371915</v>
      </c>
      <c r="J1091">
        <f t="shared" ref="J1091:J1154" si="71">IF(B1091=B1090,C1091-C1090,"")</f>
        <v>36656</v>
      </c>
      <c r="M1091" s="5" t="s">
        <v>149</v>
      </c>
      <c r="N1091" s="7">
        <v>1823361</v>
      </c>
    </row>
    <row r="1092" spans="1:14" x14ac:dyDescent="0.3">
      <c r="A1092" s="5" t="s">
        <v>149</v>
      </c>
      <c r="B1092" s="6" t="s">
        <v>7</v>
      </c>
      <c r="C1092" s="6">
        <v>7819646</v>
      </c>
      <c r="D1092" s="6">
        <v>209648</v>
      </c>
      <c r="E1092" s="6">
        <v>6957725</v>
      </c>
      <c r="F1092" s="6"/>
      <c r="G1092" s="7">
        <f t="shared" si="68"/>
        <v>652273</v>
      </c>
      <c r="H1092" s="12">
        <f t="shared" si="69"/>
        <v>2.6810420829792037</v>
      </c>
      <c r="I1092" s="12">
        <f t="shared" si="70"/>
        <v>88.977493354558504</v>
      </c>
      <c r="J1092">
        <f t="shared" si="71"/>
        <v>37079</v>
      </c>
      <c r="M1092" s="5" t="s">
        <v>149</v>
      </c>
      <c r="N1092" s="7">
        <v>652273</v>
      </c>
    </row>
    <row r="1093" spans="1:14" x14ac:dyDescent="0.3">
      <c r="A1093" s="5" t="s">
        <v>149</v>
      </c>
      <c r="B1093" s="6" t="s">
        <v>7</v>
      </c>
      <c r="C1093" s="6">
        <v>7851671</v>
      </c>
      <c r="D1093" s="6">
        <v>132232</v>
      </c>
      <c r="E1093" s="6">
        <v>6306311</v>
      </c>
      <c r="F1093" s="6"/>
      <c r="G1093" s="7">
        <f t="shared" si="68"/>
        <v>1413128</v>
      </c>
      <c r="H1093" s="12">
        <f t="shared" si="69"/>
        <v>1.6841255829491582</v>
      </c>
      <c r="I1093" s="12">
        <f t="shared" si="70"/>
        <v>80.318074967736166</v>
      </c>
      <c r="J1093">
        <f t="shared" si="71"/>
        <v>32025</v>
      </c>
      <c r="M1093" s="5" t="s">
        <v>149</v>
      </c>
      <c r="N1093" s="7">
        <v>1413128</v>
      </c>
    </row>
    <row r="1094" spans="1:14" x14ac:dyDescent="0.3">
      <c r="A1094" s="5" t="s">
        <v>149</v>
      </c>
      <c r="B1094" s="6" t="s">
        <v>7</v>
      </c>
      <c r="C1094" s="6">
        <v>7881779</v>
      </c>
      <c r="D1094" s="6">
        <v>142849</v>
      </c>
      <c r="E1094" s="6">
        <v>6647390</v>
      </c>
      <c r="F1094" s="6"/>
      <c r="G1094" s="7">
        <f t="shared" si="68"/>
        <v>1091540</v>
      </c>
      <c r="H1094" s="12">
        <f t="shared" si="69"/>
        <v>1.8123953995665192</v>
      </c>
      <c r="I1094" s="12">
        <f t="shared" si="70"/>
        <v>84.338700691810814</v>
      </c>
      <c r="J1094">
        <f t="shared" si="71"/>
        <v>30108</v>
      </c>
      <c r="M1094" s="5" t="s">
        <v>149</v>
      </c>
      <c r="N1094" s="7">
        <v>1091540</v>
      </c>
    </row>
    <row r="1095" spans="1:14" x14ac:dyDescent="0.3">
      <c r="A1095" s="5" t="s">
        <v>149</v>
      </c>
      <c r="B1095" s="6" t="s">
        <v>7</v>
      </c>
      <c r="C1095" s="6">
        <v>7931629</v>
      </c>
      <c r="D1095" s="6">
        <v>213126</v>
      </c>
      <c r="E1095" s="6">
        <v>5934780</v>
      </c>
      <c r="F1095" s="6"/>
      <c r="G1095" s="7">
        <f t="shared" si="68"/>
        <v>1783723</v>
      </c>
      <c r="H1095" s="12">
        <f t="shared" si="69"/>
        <v>2.6870394467517329</v>
      </c>
      <c r="I1095" s="12">
        <f t="shared" si="70"/>
        <v>74.824225893571167</v>
      </c>
      <c r="J1095">
        <f t="shared" si="71"/>
        <v>49850</v>
      </c>
      <c r="M1095" s="5" t="s">
        <v>149</v>
      </c>
      <c r="N1095" s="7">
        <v>1783723</v>
      </c>
    </row>
    <row r="1096" spans="1:14" x14ac:dyDescent="0.3">
      <c r="A1096" s="5" t="s">
        <v>149</v>
      </c>
      <c r="B1096" s="6" t="s">
        <v>7</v>
      </c>
      <c r="C1096" s="6">
        <v>7952019</v>
      </c>
      <c r="D1096" s="6">
        <v>238495</v>
      </c>
      <c r="E1096" s="6">
        <v>7148297</v>
      </c>
      <c r="F1096" s="6"/>
      <c r="G1096" s="7">
        <f t="shared" si="68"/>
        <v>565227</v>
      </c>
      <c r="H1096" s="12">
        <f t="shared" si="69"/>
        <v>2.9991754295355681</v>
      </c>
      <c r="I1096" s="12">
        <f t="shared" si="70"/>
        <v>89.892856141314553</v>
      </c>
      <c r="J1096">
        <f t="shared" si="71"/>
        <v>20390</v>
      </c>
      <c r="M1096" s="5" t="s">
        <v>149</v>
      </c>
      <c r="N1096" s="7">
        <v>565227</v>
      </c>
    </row>
    <row r="1097" spans="1:14" x14ac:dyDescent="0.3">
      <c r="A1097" s="5" t="s">
        <v>149</v>
      </c>
      <c r="B1097" s="6" t="s">
        <v>7</v>
      </c>
      <c r="C1097" s="6">
        <v>7970819</v>
      </c>
      <c r="D1097" s="6">
        <v>197834</v>
      </c>
      <c r="E1097" s="6">
        <v>6539746</v>
      </c>
      <c r="F1097" s="6"/>
      <c r="G1097" s="7">
        <f t="shared" si="68"/>
        <v>1233239</v>
      </c>
      <c r="H1097" s="12">
        <f t="shared" si="69"/>
        <v>2.4819783261920763</v>
      </c>
      <c r="I1097" s="12">
        <f t="shared" si="70"/>
        <v>82.046098399675117</v>
      </c>
      <c r="J1097">
        <f t="shared" si="71"/>
        <v>18800</v>
      </c>
      <c r="M1097" s="5" t="s">
        <v>149</v>
      </c>
      <c r="N1097" s="7">
        <v>1233239</v>
      </c>
    </row>
    <row r="1098" spans="1:14" x14ac:dyDescent="0.3">
      <c r="A1098" s="5" t="s">
        <v>150</v>
      </c>
      <c r="B1098" s="6" t="s">
        <v>7</v>
      </c>
      <c r="C1098" s="6">
        <v>8000256</v>
      </c>
      <c r="D1098" s="6">
        <v>220615</v>
      </c>
      <c r="E1098" s="6">
        <v>6253547</v>
      </c>
      <c r="F1098" s="6"/>
      <c r="G1098" s="7">
        <f t="shared" si="68"/>
        <v>1526094</v>
      </c>
      <c r="H1098" s="12">
        <f t="shared" si="69"/>
        <v>2.7575992568237817</v>
      </c>
      <c r="I1098" s="12">
        <f t="shared" si="70"/>
        <v>78.166836161242841</v>
      </c>
      <c r="J1098">
        <f t="shared" si="71"/>
        <v>29437</v>
      </c>
      <c r="M1098" s="5" t="s">
        <v>150</v>
      </c>
      <c r="N1098" s="7">
        <v>1526094</v>
      </c>
    </row>
    <row r="1099" spans="1:14" x14ac:dyDescent="0.3">
      <c r="A1099" s="5" t="s">
        <v>150</v>
      </c>
      <c r="B1099" s="6" t="s">
        <v>7</v>
      </c>
      <c r="C1099" s="6">
        <v>8010850</v>
      </c>
      <c r="D1099" s="6">
        <v>214475</v>
      </c>
      <c r="E1099" s="6">
        <v>6264292</v>
      </c>
      <c r="F1099" s="6"/>
      <c r="G1099" s="7">
        <f t="shared" si="68"/>
        <v>1532083</v>
      </c>
      <c r="H1099" s="12">
        <f t="shared" si="69"/>
        <v>2.6773064031906726</v>
      </c>
      <c r="I1099" s="12">
        <f t="shared" si="70"/>
        <v>78.197594512442507</v>
      </c>
      <c r="J1099">
        <f t="shared" si="71"/>
        <v>10594</v>
      </c>
      <c r="M1099" s="5" t="s">
        <v>150</v>
      </c>
      <c r="N1099" s="7">
        <v>1532083</v>
      </c>
    </row>
    <row r="1100" spans="1:14" x14ac:dyDescent="0.3">
      <c r="A1100" s="5" t="s">
        <v>150</v>
      </c>
      <c r="B1100" s="6" t="s">
        <v>7</v>
      </c>
      <c r="C1100" s="6">
        <v>8055208</v>
      </c>
      <c r="D1100" s="6">
        <v>239902</v>
      </c>
      <c r="E1100" s="6">
        <v>6750201</v>
      </c>
      <c r="F1100" s="6"/>
      <c r="G1100" s="7">
        <f t="shared" si="68"/>
        <v>1065105</v>
      </c>
      <c r="H1100" s="12">
        <f t="shared" si="69"/>
        <v>2.9782222879905769</v>
      </c>
      <c r="I1100" s="12">
        <f t="shared" si="70"/>
        <v>83.799214123334863</v>
      </c>
      <c r="J1100">
        <f t="shared" si="71"/>
        <v>44358</v>
      </c>
      <c r="M1100" s="5" t="s">
        <v>150</v>
      </c>
      <c r="N1100" s="7">
        <v>1065105</v>
      </c>
    </row>
    <row r="1101" spans="1:14" x14ac:dyDescent="0.3">
      <c r="A1101" s="5" t="s">
        <v>150</v>
      </c>
      <c r="B1101" s="6" t="s">
        <v>7</v>
      </c>
      <c r="C1101" s="6">
        <v>8088679</v>
      </c>
      <c r="D1101" s="6">
        <v>203619</v>
      </c>
      <c r="E1101" s="6">
        <v>6024727</v>
      </c>
      <c r="F1101" s="6"/>
      <c r="G1101" s="7">
        <f t="shared" si="68"/>
        <v>1860333</v>
      </c>
      <c r="H1101" s="12">
        <f t="shared" si="69"/>
        <v>2.5173331764061846</v>
      </c>
      <c r="I1101" s="12">
        <f t="shared" si="70"/>
        <v>74.483447791660424</v>
      </c>
      <c r="J1101">
        <f t="shared" si="71"/>
        <v>33471</v>
      </c>
      <c r="M1101" s="5" t="s">
        <v>150</v>
      </c>
      <c r="N1101" s="7">
        <v>1860333</v>
      </c>
    </row>
    <row r="1102" spans="1:14" x14ac:dyDescent="0.3">
      <c r="A1102" s="5" t="s">
        <v>150</v>
      </c>
      <c r="B1102" s="6" t="s">
        <v>7</v>
      </c>
      <c r="C1102" s="6">
        <v>8135908</v>
      </c>
      <c r="D1102" s="6">
        <v>210121</v>
      </c>
      <c r="E1102" s="6">
        <v>6106242</v>
      </c>
      <c r="F1102" s="6"/>
      <c r="G1102" s="7">
        <f t="shared" si="68"/>
        <v>1819545</v>
      </c>
      <c r="H1102" s="12">
        <f t="shared" si="69"/>
        <v>2.5826373651226144</v>
      </c>
      <c r="I1102" s="12">
        <f t="shared" si="70"/>
        <v>75.052987324832088</v>
      </c>
      <c r="J1102">
        <f t="shared" si="71"/>
        <v>47229</v>
      </c>
      <c r="M1102" s="5" t="s">
        <v>150</v>
      </c>
      <c r="N1102" s="7">
        <v>1819545</v>
      </c>
    </row>
    <row r="1103" spans="1:14" x14ac:dyDescent="0.3">
      <c r="A1103" s="5" t="s">
        <v>150</v>
      </c>
      <c r="B1103" s="6" t="s">
        <v>7</v>
      </c>
      <c r="C1103" s="6">
        <v>8148635</v>
      </c>
      <c r="D1103" s="6">
        <v>100190</v>
      </c>
      <c r="E1103" s="6">
        <v>7009772</v>
      </c>
      <c r="F1103" s="6"/>
      <c r="G1103" s="7">
        <f t="shared" si="68"/>
        <v>1038673</v>
      </c>
      <c r="H1103" s="12">
        <f t="shared" si="69"/>
        <v>1.2295310809724573</v>
      </c>
      <c r="I1103" s="12">
        <f t="shared" si="70"/>
        <v>86.023880073165628</v>
      </c>
      <c r="J1103">
        <f t="shared" si="71"/>
        <v>12727</v>
      </c>
      <c r="M1103" s="5" t="s">
        <v>150</v>
      </c>
      <c r="N1103" s="7">
        <v>1038673</v>
      </c>
    </row>
    <row r="1104" spans="1:14" x14ac:dyDescent="0.3">
      <c r="A1104" s="5" t="s">
        <v>150</v>
      </c>
      <c r="B1104" s="6" t="s">
        <v>7</v>
      </c>
      <c r="C1104" s="6">
        <v>8180511</v>
      </c>
      <c r="D1104" s="6">
        <v>190476</v>
      </c>
      <c r="E1104" s="6">
        <v>7021582</v>
      </c>
      <c r="F1104" s="6"/>
      <c r="G1104" s="7">
        <f t="shared" si="68"/>
        <v>968453</v>
      </c>
      <c r="H1104" s="12">
        <f t="shared" si="69"/>
        <v>2.3284120026242858</v>
      </c>
      <c r="I1104" s="12">
        <f t="shared" si="70"/>
        <v>85.833048815654664</v>
      </c>
      <c r="J1104">
        <f t="shared" si="71"/>
        <v>31876</v>
      </c>
      <c r="M1104" s="5" t="s">
        <v>150</v>
      </c>
      <c r="N1104" s="7">
        <v>968453</v>
      </c>
    </row>
    <row r="1105" spans="1:14" x14ac:dyDescent="0.3">
      <c r="A1105" s="5" t="s">
        <v>150</v>
      </c>
      <c r="B1105" s="6" t="s">
        <v>7</v>
      </c>
      <c r="C1105" s="6">
        <v>8183264</v>
      </c>
      <c r="D1105" s="6">
        <v>181080</v>
      </c>
      <c r="E1105" s="6">
        <v>5762333</v>
      </c>
      <c r="F1105" s="6"/>
      <c r="G1105" s="7">
        <f t="shared" si="68"/>
        <v>2239851</v>
      </c>
      <c r="H1105" s="12">
        <f t="shared" si="69"/>
        <v>2.2128089720678692</v>
      </c>
      <c r="I1105" s="12">
        <f t="shared" si="70"/>
        <v>70.416071142272813</v>
      </c>
      <c r="J1105">
        <f t="shared" si="71"/>
        <v>2753</v>
      </c>
      <c r="M1105" s="5" t="s">
        <v>150</v>
      </c>
      <c r="N1105" s="7">
        <v>2239851</v>
      </c>
    </row>
    <row r="1106" spans="1:14" x14ac:dyDescent="0.3">
      <c r="A1106" s="5" t="s">
        <v>151</v>
      </c>
      <c r="B1106" s="6" t="s">
        <v>7</v>
      </c>
      <c r="C1106" s="6">
        <v>8226174</v>
      </c>
      <c r="D1106" s="6">
        <v>212939</v>
      </c>
      <c r="E1106" s="6">
        <v>6338643</v>
      </c>
      <c r="F1106" s="6"/>
      <c r="G1106" s="7">
        <f t="shared" si="68"/>
        <v>1674592</v>
      </c>
      <c r="H1106" s="12">
        <f t="shared" si="69"/>
        <v>2.5885545333711639</v>
      </c>
      <c r="I1106" s="12">
        <f t="shared" si="70"/>
        <v>77.054569961685715</v>
      </c>
      <c r="J1106">
        <f t="shared" si="71"/>
        <v>42910</v>
      </c>
      <c r="M1106" s="5" t="s">
        <v>151</v>
      </c>
      <c r="N1106" s="7">
        <v>1674592</v>
      </c>
    </row>
    <row r="1107" spans="1:14" x14ac:dyDescent="0.3">
      <c r="A1107" s="5" t="s">
        <v>151</v>
      </c>
      <c r="B1107" s="6" t="s">
        <v>7</v>
      </c>
      <c r="C1107" s="6">
        <v>8258979</v>
      </c>
      <c r="D1107" s="6">
        <v>203856</v>
      </c>
      <c r="E1107" s="6">
        <v>6216432</v>
      </c>
      <c r="F1107" s="6"/>
      <c r="G1107" s="7">
        <f t="shared" si="68"/>
        <v>1838691</v>
      </c>
      <c r="H1107" s="12">
        <f t="shared" si="69"/>
        <v>2.4682954152081025</v>
      </c>
      <c r="I1107" s="12">
        <f t="shared" si="70"/>
        <v>75.268771115654857</v>
      </c>
      <c r="J1107">
        <f t="shared" si="71"/>
        <v>32805</v>
      </c>
      <c r="M1107" s="5" t="s">
        <v>151</v>
      </c>
      <c r="N1107" s="7">
        <v>1838691</v>
      </c>
    </row>
    <row r="1108" spans="1:14" x14ac:dyDescent="0.3">
      <c r="A1108" s="5" t="s">
        <v>151</v>
      </c>
      <c r="B1108" s="6" t="s">
        <v>7</v>
      </c>
      <c r="C1108" s="6">
        <v>8273079</v>
      </c>
      <c r="D1108" s="6">
        <v>219503</v>
      </c>
      <c r="E1108" s="6">
        <v>6456646</v>
      </c>
      <c r="F1108" s="6"/>
      <c r="G1108" s="7">
        <f t="shared" si="68"/>
        <v>1596930</v>
      </c>
      <c r="H1108" s="12">
        <f t="shared" si="69"/>
        <v>2.6532201614417072</v>
      </c>
      <c r="I1108" s="12">
        <f t="shared" si="70"/>
        <v>78.044051072158254</v>
      </c>
      <c r="J1108">
        <f t="shared" si="71"/>
        <v>14100</v>
      </c>
      <c r="M1108" s="5" t="s">
        <v>151</v>
      </c>
      <c r="N1108" s="7">
        <v>1596930</v>
      </c>
    </row>
    <row r="1109" spans="1:14" x14ac:dyDescent="0.3">
      <c r="A1109" s="5" t="s">
        <v>151</v>
      </c>
      <c r="B1109" s="6" t="s">
        <v>7</v>
      </c>
      <c r="C1109" s="6">
        <v>8283285</v>
      </c>
      <c r="D1109" s="6">
        <v>212553</v>
      </c>
      <c r="E1109" s="6">
        <v>7072763</v>
      </c>
      <c r="F1109" s="6"/>
      <c r="G1109" s="7">
        <f t="shared" si="68"/>
        <v>997969</v>
      </c>
      <c r="H1109" s="12">
        <f t="shared" si="69"/>
        <v>2.5660471660699833</v>
      </c>
      <c r="I1109" s="12">
        <f t="shared" si="70"/>
        <v>85.385967040853956</v>
      </c>
      <c r="J1109">
        <f t="shared" si="71"/>
        <v>10206</v>
      </c>
      <c r="M1109" s="5" t="s">
        <v>151</v>
      </c>
      <c r="N1109" s="7">
        <v>997969</v>
      </c>
    </row>
    <row r="1110" spans="1:14" x14ac:dyDescent="0.3">
      <c r="A1110" s="5" t="s">
        <v>151</v>
      </c>
      <c r="B1110" s="6" t="s">
        <v>7</v>
      </c>
      <c r="C1110" s="6">
        <v>8298910</v>
      </c>
      <c r="D1110" s="6">
        <v>111952</v>
      </c>
      <c r="E1110" s="6">
        <v>6214573</v>
      </c>
      <c r="F1110" s="6"/>
      <c r="G1110" s="7">
        <f t="shared" si="68"/>
        <v>1972385</v>
      </c>
      <c r="H1110" s="12">
        <f t="shared" si="69"/>
        <v>1.3489964344715148</v>
      </c>
      <c r="I1110" s="12">
        <f t="shared" si="70"/>
        <v>74.884207685105636</v>
      </c>
      <c r="J1110">
        <f t="shared" si="71"/>
        <v>15625</v>
      </c>
      <c r="M1110" s="5" t="s">
        <v>151</v>
      </c>
      <c r="N1110" s="7">
        <v>1972385</v>
      </c>
    </row>
    <row r="1111" spans="1:14" x14ac:dyDescent="0.3">
      <c r="A1111" s="5" t="s">
        <v>151</v>
      </c>
      <c r="B1111" s="6" t="s">
        <v>7</v>
      </c>
      <c r="C1111" s="6">
        <v>8329662</v>
      </c>
      <c r="D1111" s="6">
        <v>240649</v>
      </c>
      <c r="E1111" s="6">
        <v>7021775</v>
      </c>
      <c r="F1111" s="6"/>
      <c r="G1111" s="7">
        <f t="shared" si="68"/>
        <v>1067238</v>
      </c>
      <c r="H1111" s="12">
        <f t="shared" si="69"/>
        <v>2.889060804628087</v>
      </c>
      <c r="I1111" s="12">
        <f t="shared" si="70"/>
        <v>84.298438520074399</v>
      </c>
      <c r="J1111">
        <f t="shared" si="71"/>
        <v>30752</v>
      </c>
      <c r="M1111" s="5" t="s">
        <v>151</v>
      </c>
      <c r="N1111" s="7">
        <v>1067238</v>
      </c>
    </row>
    <row r="1112" spans="1:14" x14ac:dyDescent="0.3">
      <c r="A1112" s="5" t="s">
        <v>151</v>
      </c>
      <c r="B1112" s="6" t="s">
        <v>7</v>
      </c>
      <c r="C1112" s="6">
        <v>8371718</v>
      </c>
      <c r="D1112" s="6">
        <v>140075</v>
      </c>
      <c r="E1112" s="6">
        <v>7367807</v>
      </c>
      <c r="F1112" s="6"/>
      <c r="G1112" s="7">
        <f t="shared" si="68"/>
        <v>863836</v>
      </c>
      <c r="H1112" s="12">
        <f t="shared" si="69"/>
        <v>1.6731930053066766</v>
      </c>
      <c r="I1112" s="12">
        <f t="shared" si="70"/>
        <v>88.008303671958373</v>
      </c>
      <c r="J1112">
        <f t="shared" si="71"/>
        <v>42056</v>
      </c>
      <c r="M1112" s="5" t="s">
        <v>151</v>
      </c>
      <c r="N1112" s="7">
        <v>863836</v>
      </c>
    </row>
    <row r="1113" spans="1:14" x14ac:dyDescent="0.3">
      <c r="A1113" s="5" t="s">
        <v>151</v>
      </c>
      <c r="B1113" s="6" t="s">
        <v>7</v>
      </c>
      <c r="C1113" s="6">
        <v>8372775</v>
      </c>
      <c r="D1113" s="6">
        <v>117869</v>
      </c>
      <c r="E1113" s="6">
        <v>6884525</v>
      </c>
      <c r="F1113" s="6"/>
      <c r="G1113" s="7">
        <f t="shared" si="68"/>
        <v>1370381</v>
      </c>
      <c r="H1113" s="12">
        <f t="shared" si="69"/>
        <v>1.4077650480276851</v>
      </c>
      <c r="I1113" s="12">
        <f t="shared" si="70"/>
        <v>82.225128466965842</v>
      </c>
      <c r="J1113">
        <f t="shared" si="71"/>
        <v>1057</v>
      </c>
      <c r="M1113" s="5" t="s">
        <v>151</v>
      </c>
      <c r="N1113" s="7">
        <v>1370381</v>
      </c>
    </row>
    <row r="1114" spans="1:14" x14ac:dyDescent="0.3">
      <c r="A1114" s="5" t="s">
        <v>152</v>
      </c>
      <c r="B1114" s="6" t="s">
        <v>7</v>
      </c>
      <c r="C1114" s="6">
        <v>8376576</v>
      </c>
      <c r="D1114" s="6">
        <v>249280</v>
      </c>
      <c r="E1114" s="6">
        <v>6963400</v>
      </c>
      <c r="F1114" s="6"/>
      <c r="G1114" s="7">
        <f t="shared" si="68"/>
        <v>1163896</v>
      </c>
      <c r="H1114" s="12">
        <f t="shared" si="69"/>
        <v>2.9759176064301212</v>
      </c>
      <c r="I1114" s="12">
        <f t="shared" si="70"/>
        <v>83.129431404908161</v>
      </c>
      <c r="J1114">
        <f t="shared" si="71"/>
        <v>3801</v>
      </c>
      <c r="M1114" s="5" t="s">
        <v>152</v>
      </c>
      <c r="N1114" s="7">
        <v>1163896</v>
      </c>
    </row>
    <row r="1115" spans="1:14" x14ac:dyDescent="0.3">
      <c r="A1115" s="5" t="s">
        <v>152</v>
      </c>
      <c r="B1115" s="6" t="s">
        <v>7</v>
      </c>
      <c r="C1115" s="6">
        <v>8425578</v>
      </c>
      <c r="D1115" s="6">
        <v>197173</v>
      </c>
      <c r="E1115" s="6">
        <v>7575123</v>
      </c>
      <c r="F1115" s="6"/>
      <c r="G1115" s="7">
        <f t="shared" si="68"/>
        <v>653282</v>
      </c>
      <c r="H1115" s="12">
        <f t="shared" si="69"/>
        <v>2.3401717959290154</v>
      </c>
      <c r="I1115" s="12">
        <f t="shared" si="70"/>
        <v>89.90627111872918</v>
      </c>
      <c r="J1115">
        <f t="shared" si="71"/>
        <v>49002</v>
      </c>
      <c r="M1115" s="5" t="s">
        <v>152</v>
      </c>
      <c r="N1115" s="7">
        <v>653282</v>
      </c>
    </row>
    <row r="1116" spans="1:14" x14ac:dyDescent="0.3">
      <c r="A1116" s="5" t="s">
        <v>152</v>
      </c>
      <c r="B1116" s="6" t="s">
        <v>7</v>
      </c>
      <c r="C1116" s="6">
        <v>8427852</v>
      </c>
      <c r="D1116" s="6">
        <v>233824</v>
      </c>
      <c r="E1116" s="6">
        <v>7056688</v>
      </c>
      <c r="F1116" s="6"/>
      <c r="G1116" s="7">
        <f t="shared" si="68"/>
        <v>1137340</v>
      </c>
      <c r="H1116" s="12">
        <f t="shared" si="69"/>
        <v>2.7744198640412767</v>
      </c>
      <c r="I1116" s="12">
        <f t="shared" si="70"/>
        <v>83.730563849483829</v>
      </c>
      <c r="J1116">
        <f t="shared" si="71"/>
        <v>2274</v>
      </c>
      <c r="M1116" s="5" t="s">
        <v>152</v>
      </c>
      <c r="N1116" s="7">
        <v>1137340</v>
      </c>
    </row>
    <row r="1117" spans="1:14" x14ac:dyDescent="0.3">
      <c r="A1117" s="5" t="s">
        <v>152</v>
      </c>
      <c r="B1117" s="6" t="s">
        <v>7</v>
      </c>
      <c r="C1117" s="6">
        <v>8429378</v>
      </c>
      <c r="D1117" s="6">
        <v>238658</v>
      </c>
      <c r="E1117" s="6">
        <v>6586314</v>
      </c>
      <c r="F1117" s="6"/>
      <c r="G1117" s="7">
        <f t="shared" si="68"/>
        <v>1604406</v>
      </c>
      <c r="H1117" s="12">
        <f t="shared" si="69"/>
        <v>2.8312646555890599</v>
      </c>
      <c r="I1117" s="12">
        <f t="shared" si="70"/>
        <v>78.135231330235754</v>
      </c>
      <c r="J1117">
        <f t="shared" si="71"/>
        <v>1526</v>
      </c>
      <c r="M1117" s="5" t="s">
        <v>152</v>
      </c>
      <c r="N1117" s="7">
        <v>1604406</v>
      </c>
    </row>
    <row r="1118" spans="1:14" x14ac:dyDescent="0.3">
      <c r="A1118" s="5" t="s">
        <v>152</v>
      </c>
      <c r="B1118" s="6" t="s">
        <v>7</v>
      </c>
      <c r="C1118" s="6">
        <v>8472418</v>
      </c>
      <c r="D1118" s="6">
        <v>228320</v>
      </c>
      <c r="E1118" s="6">
        <v>6347725</v>
      </c>
      <c r="F1118" s="6"/>
      <c r="G1118" s="7">
        <f t="shared" si="68"/>
        <v>1896373</v>
      </c>
      <c r="H1118" s="12">
        <f t="shared" si="69"/>
        <v>2.694862316755382</v>
      </c>
      <c r="I1118" s="12">
        <f t="shared" si="70"/>
        <v>74.922235895348891</v>
      </c>
      <c r="J1118">
        <f t="shared" si="71"/>
        <v>43040</v>
      </c>
      <c r="M1118" s="5" t="s">
        <v>152</v>
      </c>
      <c r="N1118" s="7">
        <v>1896373</v>
      </c>
    </row>
    <row r="1119" spans="1:14" x14ac:dyDescent="0.3">
      <c r="A1119" s="5" t="s">
        <v>152</v>
      </c>
      <c r="B1119" s="6" t="s">
        <v>7</v>
      </c>
      <c r="C1119" s="6">
        <v>8504238</v>
      </c>
      <c r="D1119" s="6">
        <v>186756</v>
      </c>
      <c r="E1119" s="6">
        <v>6628256</v>
      </c>
      <c r="F1119" s="6"/>
      <c r="G1119" s="7">
        <f t="shared" si="68"/>
        <v>1689226</v>
      </c>
      <c r="H1119" s="12">
        <f t="shared" si="69"/>
        <v>2.1960344948012982</v>
      </c>
      <c r="I1119" s="12">
        <f t="shared" si="70"/>
        <v>77.940622075722715</v>
      </c>
      <c r="J1119">
        <f t="shared" si="71"/>
        <v>31820</v>
      </c>
      <c r="M1119" s="5" t="s">
        <v>152</v>
      </c>
      <c r="N1119" s="7">
        <v>1689226</v>
      </c>
    </row>
    <row r="1120" spans="1:14" x14ac:dyDescent="0.3">
      <c r="A1120" s="5" t="s">
        <v>152</v>
      </c>
      <c r="B1120" s="6" t="s">
        <v>7</v>
      </c>
      <c r="C1120" s="6">
        <v>8516874</v>
      </c>
      <c r="D1120" s="6">
        <v>244418</v>
      </c>
      <c r="E1120" s="6">
        <v>7639965</v>
      </c>
      <c r="F1120" s="6"/>
      <c r="G1120" s="7">
        <f t="shared" si="68"/>
        <v>632491</v>
      </c>
      <c r="H1120" s="12">
        <f t="shared" si="69"/>
        <v>2.8698088054373003</v>
      </c>
      <c r="I1120" s="12">
        <f t="shared" si="70"/>
        <v>89.703863177968827</v>
      </c>
      <c r="J1120">
        <f t="shared" si="71"/>
        <v>12636</v>
      </c>
      <c r="M1120" s="5" t="s">
        <v>152</v>
      </c>
      <c r="N1120" s="7">
        <v>632491</v>
      </c>
    </row>
    <row r="1121" spans="1:14" x14ac:dyDescent="0.3">
      <c r="A1121" s="5" t="s">
        <v>152</v>
      </c>
      <c r="B1121" s="6" t="s">
        <v>7</v>
      </c>
      <c r="C1121" s="6">
        <v>8555088</v>
      </c>
      <c r="D1121" s="6">
        <v>155770</v>
      </c>
      <c r="E1121" s="6">
        <v>7644306</v>
      </c>
      <c r="F1121" s="6"/>
      <c r="G1121" s="7">
        <f t="shared" si="68"/>
        <v>755012</v>
      </c>
      <c r="H1121" s="12">
        <f t="shared" si="69"/>
        <v>1.820787816560157</v>
      </c>
      <c r="I1121" s="12">
        <f t="shared" si="70"/>
        <v>89.353914302225775</v>
      </c>
      <c r="J1121">
        <f t="shared" si="71"/>
        <v>38214</v>
      </c>
      <c r="M1121" s="5" t="s">
        <v>152</v>
      </c>
      <c r="N1121" s="7">
        <v>755012</v>
      </c>
    </row>
    <row r="1122" spans="1:14" x14ac:dyDescent="0.3">
      <c r="A1122" s="5" t="s">
        <v>153</v>
      </c>
      <c r="B1122" s="6" t="s">
        <v>7</v>
      </c>
      <c r="C1122" s="6">
        <v>8573302</v>
      </c>
      <c r="D1122" s="6">
        <v>92137</v>
      </c>
      <c r="E1122" s="6">
        <v>6656503</v>
      </c>
      <c r="F1122" s="6"/>
      <c r="G1122" s="7">
        <f t="shared" si="68"/>
        <v>1824662</v>
      </c>
      <c r="H1122" s="12">
        <f t="shared" si="69"/>
        <v>1.0746967737751452</v>
      </c>
      <c r="I1122" s="12">
        <f t="shared" si="70"/>
        <v>77.642231662899547</v>
      </c>
      <c r="J1122">
        <f t="shared" si="71"/>
        <v>18214</v>
      </c>
      <c r="M1122" s="5" t="s">
        <v>153</v>
      </c>
      <c r="N1122" s="7">
        <v>1824662</v>
      </c>
    </row>
    <row r="1123" spans="1:14" x14ac:dyDescent="0.3">
      <c r="A1123" s="5" t="s">
        <v>153</v>
      </c>
      <c r="B1123" s="6" t="s">
        <v>7</v>
      </c>
      <c r="C1123" s="6">
        <v>8614642</v>
      </c>
      <c r="D1123" s="6">
        <v>233446</v>
      </c>
      <c r="E1123" s="6">
        <v>6146931</v>
      </c>
      <c r="F1123" s="6"/>
      <c r="G1123" s="7">
        <f t="shared" si="68"/>
        <v>2234265</v>
      </c>
      <c r="H1123" s="12">
        <f t="shared" si="69"/>
        <v>2.7098746529455315</v>
      </c>
      <c r="I1123" s="12">
        <f t="shared" si="70"/>
        <v>71.354456749334446</v>
      </c>
      <c r="J1123">
        <f t="shared" si="71"/>
        <v>41340</v>
      </c>
      <c r="M1123" s="5" t="s">
        <v>153</v>
      </c>
      <c r="N1123" s="7">
        <v>2234265</v>
      </c>
    </row>
    <row r="1124" spans="1:14" x14ac:dyDescent="0.3">
      <c r="A1124" s="5" t="s">
        <v>153</v>
      </c>
      <c r="B1124" s="6" t="s">
        <v>7</v>
      </c>
      <c r="C1124" s="6">
        <v>8616993</v>
      </c>
      <c r="D1124" s="6">
        <v>190960</v>
      </c>
      <c r="E1124" s="6">
        <v>7206584</v>
      </c>
      <c r="F1124" s="6"/>
      <c r="G1124" s="7">
        <f t="shared" si="68"/>
        <v>1219449</v>
      </c>
      <c r="H1124" s="12">
        <f t="shared" si="69"/>
        <v>2.2160862843917823</v>
      </c>
      <c r="I1124" s="12">
        <f t="shared" si="70"/>
        <v>83.632236906772476</v>
      </c>
      <c r="J1124">
        <f t="shared" si="71"/>
        <v>2351</v>
      </c>
      <c r="M1124" s="5" t="s">
        <v>153</v>
      </c>
      <c r="N1124" s="7">
        <v>1219449</v>
      </c>
    </row>
    <row r="1125" spans="1:14" x14ac:dyDescent="0.3">
      <c r="A1125" s="5" t="s">
        <v>153</v>
      </c>
      <c r="B1125" s="6" t="s">
        <v>7</v>
      </c>
      <c r="C1125" s="6">
        <v>8638715</v>
      </c>
      <c r="D1125" s="6">
        <v>223914</v>
      </c>
      <c r="E1125" s="6">
        <v>7032371</v>
      </c>
      <c r="F1125" s="6"/>
      <c r="G1125" s="7">
        <f t="shared" si="68"/>
        <v>1382430</v>
      </c>
      <c r="H1125" s="12">
        <f t="shared" si="69"/>
        <v>2.5919827196521705</v>
      </c>
      <c r="I1125" s="12">
        <f t="shared" si="70"/>
        <v>81.405290022879555</v>
      </c>
      <c r="J1125">
        <f t="shared" si="71"/>
        <v>21722</v>
      </c>
      <c r="M1125" s="5" t="s">
        <v>153</v>
      </c>
      <c r="N1125" s="7">
        <v>1382430</v>
      </c>
    </row>
    <row r="1126" spans="1:14" x14ac:dyDescent="0.3">
      <c r="A1126" s="5" t="s">
        <v>153</v>
      </c>
      <c r="B1126" s="6" t="s">
        <v>7</v>
      </c>
      <c r="C1126" s="6">
        <v>8657646</v>
      </c>
      <c r="D1126" s="6">
        <v>223217</v>
      </c>
      <c r="E1126" s="6">
        <v>7774232</v>
      </c>
      <c r="F1126" s="6"/>
      <c r="G1126" s="7">
        <f t="shared" si="68"/>
        <v>660197</v>
      </c>
      <c r="H1126" s="12">
        <f t="shared" si="69"/>
        <v>2.5782643457586509</v>
      </c>
      <c r="I1126" s="12">
        <f t="shared" si="70"/>
        <v>89.796140890953495</v>
      </c>
      <c r="J1126">
        <f t="shared" si="71"/>
        <v>18931</v>
      </c>
      <c r="M1126" s="5" t="s">
        <v>153</v>
      </c>
      <c r="N1126" s="7">
        <v>660197</v>
      </c>
    </row>
    <row r="1127" spans="1:14" x14ac:dyDescent="0.3">
      <c r="A1127" s="5" t="s">
        <v>153</v>
      </c>
      <c r="B1127" s="6" t="s">
        <v>7</v>
      </c>
      <c r="C1127" s="6">
        <v>8686576</v>
      </c>
      <c r="D1127" s="6">
        <v>203487</v>
      </c>
      <c r="E1127" s="6">
        <v>6775410</v>
      </c>
      <c r="F1127" s="6"/>
      <c r="G1127" s="7">
        <f t="shared" si="68"/>
        <v>1707679</v>
      </c>
      <c r="H1127" s="12">
        <f t="shared" si="69"/>
        <v>2.3425455553488508</v>
      </c>
      <c r="I1127" s="12">
        <f t="shared" si="70"/>
        <v>77.998626846757574</v>
      </c>
      <c r="J1127">
        <f t="shared" si="71"/>
        <v>28930</v>
      </c>
      <c r="M1127" s="5" t="s">
        <v>153</v>
      </c>
      <c r="N1127" s="7">
        <v>1707679</v>
      </c>
    </row>
    <row r="1128" spans="1:14" x14ac:dyDescent="0.3">
      <c r="A1128" s="5" t="s">
        <v>153</v>
      </c>
      <c r="B1128" s="6" t="s">
        <v>7</v>
      </c>
      <c r="C1128" s="6">
        <v>8731151</v>
      </c>
      <c r="D1128" s="6">
        <v>235444</v>
      </c>
      <c r="E1128" s="6">
        <v>6971049</v>
      </c>
      <c r="F1128" s="6"/>
      <c r="G1128" s="7">
        <f t="shared" si="68"/>
        <v>1524658</v>
      </c>
      <c r="H1128" s="12">
        <f t="shared" si="69"/>
        <v>2.6965975047276127</v>
      </c>
      <c r="I1128" s="12">
        <f t="shared" si="70"/>
        <v>79.84112289433547</v>
      </c>
      <c r="J1128">
        <f t="shared" si="71"/>
        <v>44575</v>
      </c>
      <c r="M1128" s="5" t="s">
        <v>153</v>
      </c>
      <c r="N1128" s="7">
        <v>1524658</v>
      </c>
    </row>
    <row r="1129" spans="1:14" x14ac:dyDescent="0.3">
      <c r="A1129" s="5" t="s">
        <v>153</v>
      </c>
      <c r="B1129" s="6" t="s">
        <v>7</v>
      </c>
      <c r="C1129" s="6">
        <v>8733568</v>
      </c>
      <c r="D1129" s="6">
        <v>238673</v>
      </c>
      <c r="E1129" s="6">
        <v>6339542</v>
      </c>
      <c r="F1129" s="6"/>
      <c r="G1129" s="7">
        <f t="shared" si="68"/>
        <v>2155353</v>
      </c>
      <c r="H1129" s="12">
        <f t="shared" si="69"/>
        <v>2.7328235149712006</v>
      </c>
      <c r="I1129" s="12">
        <f t="shared" si="70"/>
        <v>72.588225110287112</v>
      </c>
      <c r="J1129">
        <f t="shared" si="71"/>
        <v>2417</v>
      </c>
      <c r="M1129" s="5" t="s">
        <v>153</v>
      </c>
      <c r="N1129" s="7">
        <v>2155353</v>
      </c>
    </row>
    <row r="1130" spans="1:14" x14ac:dyDescent="0.3">
      <c r="A1130" s="5" t="s">
        <v>154</v>
      </c>
      <c r="B1130" s="6" t="s">
        <v>7</v>
      </c>
      <c r="C1130" s="6">
        <v>8779277</v>
      </c>
      <c r="D1130" s="6">
        <v>230879</v>
      </c>
      <c r="E1130" s="6">
        <v>6884891</v>
      </c>
      <c r="F1130" s="6"/>
      <c r="G1130" s="7">
        <f t="shared" si="68"/>
        <v>1663507</v>
      </c>
      <c r="H1130" s="12">
        <f t="shared" si="69"/>
        <v>2.629817922364222</v>
      </c>
      <c r="I1130" s="12">
        <f t="shared" si="70"/>
        <v>78.422072797110744</v>
      </c>
      <c r="J1130">
        <f t="shared" si="71"/>
        <v>45709</v>
      </c>
      <c r="M1130" s="5" t="s">
        <v>154</v>
      </c>
      <c r="N1130" s="7">
        <v>1663507</v>
      </c>
    </row>
    <row r="1131" spans="1:14" x14ac:dyDescent="0.3">
      <c r="A1131" s="5" t="s">
        <v>154</v>
      </c>
      <c r="B1131" s="6" t="s">
        <v>7</v>
      </c>
      <c r="C1131" s="6">
        <v>8820459</v>
      </c>
      <c r="D1131" s="6">
        <v>189203</v>
      </c>
      <c r="E1131" s="6">
        <v>7316099</v>
      </c>
      <c r="F1131" s="6"/>
      <c r="G1131" s="7">
        <f t="shared" si="68"/>
        <v>1315157</v>
      </c>
      <c r="H1131" s="12">
        <f t="shared" si="69"/>
        <v>2.145047100156579</v>
      </c>
      <c r="I1131" s="12">
        <f t="shared" si="70"/>
        <v>82.944651746581442</v>
      </c>
      <c r="J1131">
        <f t="shared" si="71"/>
        <v>41182</v>
      </c>
      <c r="M1131" s="5" t="s">
        <v>154</v>
      </c>
      <c r="N1131" s="7">
        <v>1315157</v>
      </c>
    </row>
    <row r="1132" spans="1:14" x14ac:dyDescent="0.3">
      <c r="A1132" s="5" t="s">
        <v>154</v>
      </c>
      <c r="B1132" s="6" t="s">
        <v>7</v>
      </c>
      <c r="C1132" s="6">
        <v>8859700</v>
      </c>
      <c r="D1132" s="6">
        <v>182573</v>
      </c>
      <c r="E1132" s="6">
        <v>7403215</v>
      </c>
      <c r="F1132" s="6"/>
      <c r="G1132" s="7">
        <f t="shared" si="68"/>
        <v>1273912</v>
      </c>
      <c r="H1132" s="12">
        <f t="shared" si="69"/>
        <v>2.0607131166969537</v>
      </c>
      <c r="I1132" s="12">
        <f t="shared" si="70"/>
        <v>83.560560741334356</v>
      </c>
      <c r="J1132">
        <f t="shared" si="71"/>
        <v>39241</v>
      </c>
      <c r="M1132" s="5" t="s">
        <v>154</v>
      </c>
      <c r="N1132" s="7">
        <v>1273912</v>
      </c>
    </row>
    <row r="1133" spans="1:14" x14ac:dyDescent="0.3">
      <c r="A1133" s="5" t="s">
        <v>154</v>
      </c>
      <c r="B1133" s="6" t="s">
        <v>7</v>
      </c>
      <c r="C1133" s="6">
        <v>8901383</v>
      </c>
      <c r="D1133" s="6">
        <v>156676</v>
      </c>
      <c r="E1133" s="6">
        <v>7068460</v>
      </c>
      <c r="F1133" s="6"/>
      <c r="G1133" s="7">
        <f t="shared" si="68"/>
        <v>1676247</v>
      </c>
      <c r="H1133" s="12">
        <f t="shared" si="69"/>
        <v>1.7601309818934878</v>
      </c>
      <c r="I1133" s="12">
        <f t="shared" si="70"/>
        <v>79.408559321624523</v>
      </c>
      <c r="J1133">
        <f t="shared" si="71"/>
        <v>41683</v>
      </c>
      <c r="M1133" s="5" t="s">
        <v>154</v>
      </c>
      <c r="N1133" s="7">
        <v>1676247</v>
      </c>
    </row>
    <row r="1134" spans="1:14" x14ac:dyDescent="0.3">
      <c r="A1134" s="5" t="s">
        <v>154</v>
      </c>
      <c r="B1134" s="6" t="s">
        <v>7</v>
      </c>
      <c r="C1134" s="6">
        <v>8938959</v>
      </c>
      <c r="D1134" s="6">
        <v>223739</v>
      </c>
      <c r="E1134" s="6">
        <v>6779813</v>
      </c>
      <c r="F1134" s="6"/>
      <c r="G1134" s="7">
        <f t="shared" si="68"/>
        <v>1935407</v>
      </c>
      <c r="H1134" s="12">
        <f t="shared" si="69"/>
        <v>2.5029648306922541</v>
      </c>
      <c r="I1134" s="12">
        <f t="shared" si="70"/>
        <v>75.845666145241296</v>
      </c>
      <c r="J1134">
        <f t="shared" si="71"/>
        <v>37576</v>
      </c>
      <c r="M1134" s="5" t="s">
        <v>154</v>
      </c>
      <c r="N1134" s="7">
        <v>1935407</v>
      </c>
    </row>
    <row r="1135" spans="1:14" x14ac:dyDescent="0.3">
      <c r="A1135" s="5" t="s">
        <v>154</v>
      </c>
      <c r="B1135" s="6" t="s">
        <v>7</v>
      </c>
      <c r="C1135" s="6">
        <v>8944454</v>
      </c>
      <c r="D1135" s="6">
        <v>127254</v>
      </c>
      <c r="E1135" s="6">
        <v>7154513</v>
      </c>
      <c r="F1135" s="6"/>
      <c r="G1135" s="7">
        <f t="shared" si="68"/>
        <v>1662687</v>
      </c>
      <c r="H1135" s="12">
        <f t="shared" si="69"/>
        <v>1.4227140080322398</v>
      </c>
      <c r="I1135" s="12">
        <f t="shared" si="70"/>
        <v>79.988258646083935</v>
      </c>
      <c r="J1135">
        <f t="shared" si="71"/>
        <v>5495</v>
      </c>
      <c r="M1135" s="5" t="s">
        <v>154</v>
      </c>
      <c r="N1135" s="7">
        <v>1662687</v>
      </c>
    </row>
    <row r="1136" spans="1:14" x14ac:dyDescent="0.3">
      <c r="A1136" s="5" t="s">
        <v>154</v>
      </c>
      <c r="B1136" s="6" t="s">
        <v>7</v>
      </c>
      <c r="C1136" s="6">
        <v>8979529</v>
      </c>
      <c r="D1136" s="6">
        <v>177448</v>
      </c>
      <c r="E1136" s="6">
        <v>7566363</v>
      </c>
      <c r="F1136" s="6"/>
      <c r="G1136" s="7">
        <f t="shared" si="68"/>
        <v>1235718</v>
      </c>
      <c r="H1136" s="12">
        <f t="shared" si="69"/>
        <v>1.9761392830292102</v>
      </c>
      <c r="I1136" s="12">
        <f t="shared" si="70"/>
        <v>84.262359417737827</v>
      </c>
      <c r="J1136">
        <f t="shared" si="71"/>
        <v>35075</v>
      </c>
      <c r="M1136" s="5" t="s">
        <v>154</v>
      </c>
      <c r="N1136" s="7">
        <v>1235718</v>
      </c>
    </row>
    <row r="1137" spans="1:14" x14ac:dyDescent="0.3">
      <c r="A1137" s="5" t="s">
        <v>154</v>
      </c>
      <c r="B1137" s="6" t="s">
        <v>7</v>
      </c>
      <c r="C1137" s="6">
        <v>8997265</v>
      </c>
      <c r="D1137" s="6">
        <v>116015</v>
      </c>
      <c r="E1137" s="6">
        <v>6950237</v>
      </c>
      <c r="F1137" s="6"/>
      <c r="G1137" s="7">
        <f t="shared" si="68"/>
        <v>1931013</v>
      </c>
      <c r="H1137" s="12">
        <f t="shared" si="69"/>
        <v>1.2894474042945274</v>
      </c>
      <c r="I1137" s="12">
        <f t="shared" si="70"/>
        <v>77.248330464869042</v>
      </c>
      <c r="J1137">
        <f t="shared" si="71"/>
        <v>17736</v>
      </c>
      <c r="M1137" s="5" t="s">
        <v>154</v>
      </c>
      <c r="N1137" s="7">
        <v>1931013</v>
      </c>
    </row>
    <row r="1138" spans="1:14" x14ac:dyDescent="0.3">
      <c r="A1138" s="5" t="s">
        <v>155</v>
      </c>
      <c r="B1138" s="6" t="s">
        <v>7</v>
      </c>
      <c r="C1138" s="6">
        <v>8998322</v>
      </c>
      <c r="D1138" s="6">
        <v>157395</v>
      </c>
      <c r="E1138" s="6">
        <v>7967260</v>
      </c>
      <c r="F1138" s="6"/>
      <c r="G1138" s="7">
        <f t="shared" si="68"/>
        <v>873667</v>
      </c>
      <c r="H1138" s="12">
        <f t="shared" si="69"/>
        <v>1.7491594543960529</v>
      </c>
      <c r="I1138" s="12">
        <f t="shared" si="70"/>
        <v>88.541619204113829</v>
      </c>
      <c r="J1138">
        <f t="shared" si="71"/>
        <v>1057</v>
      </c>
      <c r="M1138" s="5" t="s">
        <v>155</v>
      </c>
      <c r="N1138" s="7">
        <v>873667</v>
      </c>
    </row>
    <row r="1139" spans="1:14" x14ac:dyDescent="0.3">
      <c r="A1139" s="5" t="s">
        <v>155</v>
      </c>
      <c r="B1139" s="6" t="s">
        <v>7</v>
      </c>
      <c r="C1139" s="6">
        <v>9033751</v>
      </c>
      <c r="D1139" s="6">
        <v>242401</v>
      </c>
      <c r="E1139" s="6">
        <v>7676749</v>
      </c>
      <c r="F1139" s="6"/>
      <c r="G1139" s="7">
        <f t="shared" si="68"/>
        <v>1114601</v>
      </c>
      <c r="H1139" s="12">
        <f t="shared" si="69"/>
        <v>2.6832818394042519</v>
      </c>
      <c r="I1139" s="12">
        <f t="shared" si="70"/>
        <v>84.978532173401717</v>
      </c>
      <c r="J1139">
        <f t="shared" si="71"/>
        <v>35429</v>
      </c>
      <c r="M1139" s="5" t="s">
        <v>155</v>
      </c>
      <c r="N1139" s="7">
        <v>1114601</v>
      </c>
    </row>
    <row r="1140" spans="1:14" x14ac:dyDescent="0.3">
      <c r="A1140" s="5" t="s">
        <v>155</v>
      </c>
      <c r="B1140" s="6" t="s">
        <v>7</v>
      </c>
      <c r="C1140" s="6">
        <v>9077101</v>
      </c>
      <c r="D1140" s="6">
        <v>260827</v>
      </c>
      <c r="E1140" s="6">
        <v>6647432</v>
      </c>
      <c r="F1140" s="6"/>
      <c r="G1140" s="7">
        <f t="shared" si="68"/>
        <v>2168842</v>
      </c>
      <c r="H1140" s="12">
        <f t="shared" si="69"/>
        <v>2.8734614718950469</v>
      </c>
      <c r="I1140" s="12">
        <f t="shared" si="70"/>
        <v>73.232984848356324</v>
      </c>
      <c r="J1140">
        <f t="shared" si="71"/>
        <v>43350</v>
      </c>
      <c r="M1140" s="5" t="s">
        <v>155</v>
      </c>
      <c r="N1140" s="7">
        <v>2168842</v>
      </c>
    </row>
    <row r="1141" spans="1:14" x14ac:dyDescent="0.3">
      <c r="A1141" s="5" t="s">
        <v>155</v>
      </c>
      <c r="B1141" s="6" t="s">
        <v>7</v>
      </c>
      <c r="C1141" s="6">
        <v>9088813</v>
      </c>
      <c r="D1141" s="6">
        <v>100326</v>
      </c>
      <c r="E1141" s="6">
        <v>7845098</v>
      </c>
      <c r="F1141" s="6"/>
      <c r="G1141" s="7">
        <f t="shared" si="68"/>
        <v>1143389</v>
      </c>
      <c r="H1141" s="12">
        <f t="shared" si="69"/>
        <v>1.1038405125069686</v>
      </c>
      <c r="I1141" s="12">
        <f t="shared" si="70"/>
        <v>86.315979875479883</v>
      </c>
      <c r="J1141">
        <f t="shared" si="71"/>
        <v>11712</v>
      </c>
      <c r="M1141" s="5" t="s">
        <v>155</v>
      </c>
      <c r="N1141" s="7">
        <v>1143389</v>
      </c>
    </row>
    <row r="1142" spans="1:14" x14ac:dyDescent="0.3">
      <c r="A1142" s="5" t="s">
        <v>155</v>
      </c>
      <c r="B1142" s="6" t="s">
        <v>7</v>
      </c>
      <c r="C1142" s="6">
        <v>9129596</v>
      </c>
      <c r="D1142" s="6">
        <v>149326</v>
      </c>
      <c r="E1142" s="6">
        <v>6975142</v>
      </c>
      <c r="F1142" s="6"/>
      <c r="G1142" s="7">
        <f t="shared" si="68"/>
        <v>2005128</v>
      </c>
      <c r="H1142" s="12">
        <f t="shared" si="69"/>
        <v>1.6356254975576139</v>
      </c>
      <c r="I1142" s="12">
        <f t="shared" si="70"/>
        <v>76.401431125758464</v>
      </c>
      <c r="J1142">
        <f t="shared" si="71"/>
        <v>40783</v>
      </c>
      <c r="M1142" s="5" t="s">
        <v>155</v>
      </c>
      <c r="N1142" s="7">
        <v>2005128</v>
      </c>
    </row>
    <row r="1143" spans="1:14" x14ac:dyDescent="0.3">
      <c r="A1143" s="5" t="s">
        <v>155</v>
      </c>
      <c r="B1143" s="6" t="s">
        <v>7</v>
      </c>
      <c r="C1143" s="6">
        <v>9165845</v>
      </c>
      <c r="D1143" s="6">
        <v>180293</v>
      </c>
      <c r="E1143" s="6">
        <v>7771775</v>
      </c>
      <c r="F1143" s="6"/>
      <c r="G1143" s="7">
        <f t="shared" si="68"/>
        <v>1213777</v>
      </c>
      <c r="H1143" s="12">
        <f t="shared" si="69"/>
        <v>1.9670090428105647</v>
      </c>
      <c r="I1143" s="12">
        <f t="shared" si="70"/>
        <v>84.790600321083332</v>
      </c>
      <c r="J1143">
        <f t="shared" si="71"/>
        <v>36249</v>
      </c>
      <c r="M1143" s="5" t="s">
        <v>155</v>
      </c>
      <c r="N1143" s="7">
        <v>1213777</v>
      </c>
    </row>
    <row r="1144" spans="1:14" x14ac:dyDescent="0.3">
      <c r="A1144" s="5" t="s">
        <v>155</v>
      </c>
      <c r="B1144" s="6" t="s">
        <v>7</v>
      </c>
      <c r="C1144" s="6">
        <v>9189169</v>
      </c>
      <c r="D1144" s="6">
        <v>146211</v>
      </c>
      <c r="E1144" s="6">
        <v>7974091</v>
      </c>
      <c r="F1144" s="6"/>
      <c r="G1144" s="7">
        <f t="shared" si="68"/>
        <v>1068867</v>
      </c>
      <c r="H1144" s="12">
        <f t="shared" si="69"/>
        <v>1.5911232016736225</v>
      </c>
      <c r="I1144" s="12">
        <f t="shared" si="70"/>
        <v>86.777063301371427</v>
      </c>
      <c r="J1144">
        <f t="shared" si="71"/>
        <v>23324</v>
      </c>
      <c r="M1144" s="5" t="s">
        <v>155</v>
      </c>
      <c r="N1144" s="7">
        <v>1068867</v>
      </c>
    </row>
    <row r="1145" spans="1:14" x14ac:dyDescent="0.3">
      <c r="A1145" s="5" t="s">
        <v>155</v>
      </c>
      <c r="B1145" s="6" t="s">
        <v>7</v>
      </c>
      <c r="C1145" s="6">
        <v>9211902</v>
      </c>
      <c r="D1145" s="6">
        <v>253784</v>
      </c>
      <c r="E1145" s="6">
        <v>7289027</v>
      </c>
      <c r="F1145" s="6"/>
      <c r="G1145" s="7">
        <f t="shared" si="68"/>
        <v>1669091</v>
      </c>
      <c r="H1145" s="12">
        <f t="shared" si="69"/>
        <v>2.75495766238069</v>
      </c>
      <c r="I1145" s="12">
        <f t="shared" si="70"/>
        <v>79.12618914096133</v>
      </c>
      <c r="J1145">
        <f t="shared" si="71"/>
        <v>22733</v>
      </c>
      <c r="M1145" s="5" t="s">
        <v>155</v>
      </c>
      <c r="N1145" s="7">
        <v>1669091</v>
      </c>
    </row>
    <row r="1146" spans="1:14" x14ac:dyDescent="0.3">
      <c r="A1146" s="5" t="s">
        <v>156</v>
      </c>
      <c r="B1146" s="6" t="s">
        <v>7</v>
      </c>
      <c r="C1146" s="6">
        <v>9254018</v>
      </c>
      <c r="D1146" s="6">
        <v>140322</v>
      </c>
      <c r="E1146" s="6">
        <v>6539732</v>
      </c>
      <c r="F1146" s="6"/>
      <c r="G1146" s="7">
        <f t="shared" si="68"/>
        <v>2573964</v>
      </c>
      <c r="H1146" s="12">
        <f t="shared" si="69"/>
        <v>1.5163359310517874</v>
      </c>
      <c r="I1146" s="12">
        <f t="shared" si="70"/>
        <v>70.669108272752439</v>
      </c>
      <c r="J1146">
        <f t="shared" si="71"/>
        <v>42116</v>
      </c>
      <c r="M1146" s="5" t="s">
        <v>156</v>
      </c>
      <c r="N1146" s="7">
        <v>2573964</v>
      </c>
    </row>
    <row r="1147" spans="1:14" x14ac:dyDescent="0.3">
      <c r="A1147" s="5" t="s">
        <v>156</v>
      </c>
      <c r="B1147" s="6" t="s">
        <v>7</v>
      </c>
      <c r="C1147" s="6">
        <v>9290041</v>
      </c>
      <c r="D1147" s="6">
        <v>174021</v>
      </c>
      <c r="E1147" s="6">
        <v>7112187</v>
      </c>
      <c r="F1147" s="6"/>
      <c r="G1147" s="7">
        <f t="shared" si="68"/>
        <v>2003833</v>
      </c>
      <c r="H1147" s="12">
        <f t="shared" si="69"/>
        <v>1.8731994831885024</v>
      </c>
      <c r="I1147" s="12">
        <f t="shared" si="70"/>
        <v>76.557110996603782</v>
      </c>
      <c r="J1147">
        <f t="shared" si="71"/>
        <v>36023</v>
      </c>
      <c r="M1147" s="5" t="s">
        <v>156</v>
      </c>
      <c r="N1147" s="7">
        <v>2003833</v>
      </c>
    </row>
    <row r="1148" spans="1:14" x14ac:dyDescent="0.3">
      <c r="A1148" s="5" t="s">
        <v>156</v>
      </c>
      <c r="B1148" s="6" t="s">
        <v>7</v>
      </c>
      <c r="C1148" s="6">
        <v>9293280</v>
      </c>
      <c r="D1148" s="6">
        <v>258124</v>
      </c>
      <c r="E1148" s="6">
        <v>7292070</v>
      </c>
      <c r="F1148" s="6"/>
      <c r="G1148" s="7">
        <f t="shared" si="68"/>
        <v>1743086</v>
      </c>
      <c r="H1148" s="12">
        <f t="shared" si="69"/>
        <v>2.7775338739390185</v>
      </c>
      <c r="I1148" s="12">
        <f t="shared" si="70"/>
        <v>78.466052889830067</v>
      </c>
      <c r="J1148">
        <f t="shared" si="71"/>
        <v>3239</v>
      </c>
      <c r="M1148" s="5" t="s">
        <v>156</v>
      </c>
      <c r="N1148" s="7">
        <v>1743086</v>
      </c>
    </row>
    <row r="1149" spans="1:14" x14ac:dyDescent="0.3">
      <c r="A1149" s="5" t="s">
        <v>156</v>
      </c>
      <c r="B1149" s="6" t="s">
        <v>7</v>
      </c>
      <c r="C1149" s="6">
        <v>9311225</v>
      </c>
      <c r="D1149" s="6">
        <v>122520</v>
      </c>
      <c r="E1149" s="6">
        <v>6784924</v>
      </c>
      <c r="F1149" s="6"/>
      <c r="G1149" s="7">
        <f t="shared" si="68"/>
        <v>2403781</v>
      </c>
      <c r="H1149" s="12">
        <f t="shared" si="69"/>
        <v>1.3158311607763749</v>
      </c>
      <c r="I1149" s="12">
        <f t="shared" si="70"/>
        <v>72.868220883933105</v>
      </c>
      <c r="J1149">
        <f t="shared" si="71"/>
        <v>17945</v>
      </c>
      <c r="M1149" s="5" t="s">
        <v>156</v>
      </c>
      <c r="N1149" s="7">
        <v>2403781</v>
      </c>
    </row>
    <row r="1150" spans="1:14" x14ac:dyDescent="0.3">
      <c r="A1150" s="5" t="s">
        <v>156</v>
      </c>
      <c r="B1150" s="6" t="s">
        <v>7</v>
      </c>
      <c r="C1150" s="6">
        <v>9341985</v>
      </c>
      <c r="D1150" s="6">
        <v>197287</v>
      </c>
      <c r="E1150" s="6">
        <v>8150126</v>
      </c>
      <c r="F1150" s="6"/>
      <c r="G1150" s="7">
        <f t="shared" si="68"/>
        <v>994572</v>
      </c>
      <c r="H1150" s="12">
        <f t="shared" si="69"/>
        <v>2.1118316931572894</v>
      </c>
      <c r="I1150" s="12">
        <f t="shared" si="70"/>
        <v>87.241908438088913</v>
      </c>
      <c r="J1150">
        <f t="shared" si="71"/>
        <v>30760</v>
      </c>
      <c r="M1150" s="5" t="s">
        <v>156</v>
      </c>
      <c r="N1150" s="7">
        <v>994572</v>
      </c>
    </row>
    <row r="1151" spans="1:14" x14ac:dyDescent="0.3">
      <c r="A1151" s="5" t="s">
        <v>156</v>
      </c>
      <c r="B1151" s="6" t="s">
        <v>7</v>
      </c>
      <c r="C1151" s="6">
        <v>9345685</v>
      </c>
      <c r="D1151" s="6">
        <v>160197</v>
      </c>
      <c r="E1151" s="6">
        <v>8303808</v>
      </c>
      <c r="F1151" s="6"/>
      <c r="G1151" s="7">
        <f t="shared" si="68"/>
        <v>881680</v>
      </c>
      <c r="H1151" s="12">
        <f t="shared" si="69"/>
        <v>1.7141279638678171</v>
      </c>
      <c r="I1151" s="12">
        <f t="shared" si="70"/>
        <v>88.851785610150571</v>
      </c>
      <c r="J1151">
        <f t="shared" si="71"/>
        <v>3700</v>
      </c>
      <c r="M1151" s="5" t="s">
        <v>156</v>
      </c>
      <c r="N1151" s="7">
        <v>881680</v>
      </c>
    </row>
    <row r="1152" spans="1:14" x14ac:dyDescent="0.3">
      <c r="A1152" s="5" t="s">
        <v>156</v>
      </c>
      <c r="B1152" s="6" t="s">
        <v>7</v>
      </c>
      <c r="C1152" s="6">
        <v>9354534</v>
      </c>
      <c r="D1152" s="6">
        <v>122161</v>
      </c>
      <c r="E1152" s="6">
        <v>7105926</v>
      </c>
      <c r="F1152" s="6"/>
      <c r="G1152" s="7">
        <f t="shared" si="68"/>
        <v>2126447</v>
      </c>
      <c r="H1152" s="12">
        <f t="shared" si="69"/>
        <v>1.3059015018813336</v>
      </c>
      <c r="I1152" s="12">
        <f t="shared" si="70"/>
        <v>75.962372898532422</v>
      </c>
      <c r="J1152">
        <f t="shared" si="71"/>
        <v>8849</v>
      </c>
      <c r="M1152" s="5" t="s">
        <v>156</v>
      </c>
      <c r="N1152" s="7">
        <v>2126447</v>
      </c>
    </row>
    <row r="1153" spans="1:14" x14ac:dyDescent="0.3">
      <c r="A1153" s="5" t="s">
        <v>156</v>
      </c>
      <c r="B1153" s="6" t="s">
        <v>7</v>
      </c>
      <c r="C1153" s="6">
        <v>9359921</v>
      </c>
      <c r="D1153" s="6">
        <v>239622</v>
      </c>
      <c r="E1153" s="6">
        <v>6928342</v>
      </c>
      <c r="F1153" s="6"/>
      <c r="G1153" s="7">
        <f t="shared" si="68"/>
        <v>2191957</v>
      </c>
      <c r="H1153" s="12">
        <f t="shared" si="69"/>
        <v>2.5600857101251173</v>
      </c>
      <c r="I1153" s="12">
        <f t="shared" si="70"/>
        <v>74.021372616285973</v>
      </c>
      <c r="J1153">
        <f t="shared" si="71"/>
        <v>5387</v>
      </c>
      <c r="M1153" s="5" t="s">
        <v>156</v>
      </c>
      <c r="N1153" s="7">
        <v>2191957</v>
      </c>
    </row>
    <row r="1154" spans="1:14" x14ac:dyDescent="0.3">
      <c r="A1154" s="5" t="s">
        <v>157</v>
      </c>
      <c r="B1154" s="6" t="s">
        <v>7</v>
      </c>
      <c r="C1154" s="6">
        <v>9406990</v>
      </c>
      <c r="D1154" s="6">
        <v>121696</v>
      </c>
      <c r="E1154" s="6">
        <v>6674365</v>
      </c>
      <c r="F1154" s="6"/>
      <c r="G1154" s="7">
        <f t="shared" si="68"/>
        <v>2610929</v>
      </c>
      <c r="H1154" s="12">
        <f t="shared" si="69"/>
        <v>1.2936762981570089</v>
      </c>
      <c r="I1154" s="12">
        <f t="shared" si="70"/>
        <v>70.95112251634157</v>
      </c>
      <c r="J1154">
        <f t="shared" si="71"/>
        <v>47069</v>
      </c>
      <c r="M1154" s="5" t="s">
        <v>157</v>
      </c>
      <c r="N1154" s="7">
        <v>2610929</v>
      </c>
    </row>
    <row r="1155" spans="1:14" x14ac:dyDescent="0.3">
      <c r="A1155" s="5" t="s">
        <v>157</v>
      </c>
      <c r="B1155" s="6" t="s">
        <v>7</v>
      </c>
      <c r="C1155" s="6">
        <v>9455326</v>
      </c>
      <c r="D1155" s="6">
        <v>133723</v>
      </c>
      <c r="E1155" s="6">
        <v>7868598</v>
      </c>
      <c r="F1155" s="6"/>
      <c r="G1155" s="7">
        <f t="shared" ref="G1155:G1201" si="72" xml:space="preserve"> C1155-D1155-E1155</f>
        <v>1453005</v>
      </c>
      <c r="H1155" s="12">
        <f t="shared" ref="H1155:H1201" si="73">D1155/C1155*100</f>
        <v>1.4142611264804619</v>
      </c>
      <c r="I1155" s="12">
        <f t="shared" ref="I1155:I1201" si="74">E1155/C1155*100</f>
        <v>83.218685426605063</v>
      </c>
      <c r="J1155">
        <f t="shared" ref="J1155:J1201" si="75">IF(B1155=B1154,C1155-C1154,"")</f>
        <v>48336</v>
      </c>
      <c r="M1155" s="5" t="s">
        <v>157</v>
      </c>
      <c r="N1155" s="7">
        <v>1453005</v>
      </c>
    </row>
    <row r="1156" spans="1:14" x14ac:dyDescent="0.3">
      <c r="A1156" s="5" t="s">
        <v>157</v>
      </c>
      <c r="B1156" s="6" t="s">
        <v>7</v>
      </c>
      <c r="C1156" s="6">
        <v>9465258</v>
      </c>
      <c r="D1156" s="6">
        <v>175394</v>
      </c>
      <c r="E1156" s="6">
        <v>8392445</v>
      </c>
      <c r="F1156" s="6"/>
      <c r="G1156" s="7">
        <f t="shared" si="72"/>
        <v>897419</v>
      </c>
      <c r="H1156" s="12">
        <f t="shared" si="73"/>
        <v>1.8530292571000178</v>
      </c>
      <c r="I1156" s="12">
        <f t="shared" si="74"/>
        <v>88.665781746255618</v>
      </c>
      <c r="J1156">
        <f t="shared" si="75"/>
        <v>9932</v>
      </c>
      <c r="M1156" s="5" t="s">
        <v>157</v>
      </c>
      <c r="N1156" s="7">
        <v>897419</v>
      </c>
    </row>
    <row r="1157" spans="1:14" x14ac:dyDescent="0.3">
      <c r="A1157" s="5" t="s">
        <v>157</v>
      </c>
      <c r="B1157" s="6" t="s">
        <v>7</v>
      </c>
      <c r="C1157" s="6">
        <v>9483624</v>
      </c>
      <c r="D1157" s="6">
        <v>145752</v>
      </c>
      <c r="E1157" s="6">
        <v>7201985</v>
      </c>
      <c r="F1157" s="6"/>
      <c r="G1157" s="7">
        <f t="shared" si="72"/>
        <v>2135887</v>
      </c>
      <c r="H1157" s="12">
        <f t="shared" si="73"/>
        <v>1.5368808379581478</v>
      </c>
      <c r="I1157" s="12">
        <f t="shared" si="74"/>
        <v>75.941275191846486</v>
      </c>
      <c r="J1157">
        <f t="shared" si="75"/>
        <v>18366</v>
      </c>
      <c r="M1157" s="5" t="s">
        <v>157</v>
      </c>
      <c r="N1157" s="7">
        <v>2135887</v>
      </c>
    </row>
    <row r="1158" spans="1:14" x14ac:dyDescent="0.3">
      <c r="A1158" s="5" t="s">
        <v>157</v>
      </c>
      <c r="B1158" s="6" t="s">
        <v>7</v>
      </c>
      <c r="C1158" s="6">
        <v>9518999</v>
      </c>
      <c r="D1158" s="6">
        <v>194427</v>
      </c>
      <c r="E1158" s="6">
        <v>6977697</v>
      </c>
      <c r="F1158" s="6"/>
      <c r="G1158" s="7">
        <f t="shared" si="72"/>
        <v>2346875</v>
      </c>
      <c r="H1158" s="12">
        <f t="shared" si="73"/>
        <v>2.0425151846323337</v>
      </c>
      <c r="I1158" s="12">
        <f t="shared" si="74"/>
        <v>73.302844133085841</v>
      </c>
      <c r="J1158">
        <f t="shared" si="75"/>
        <v>35375</v>
      </c>
      <c r="M1158" s="5" t="s">
        <v>157</v>
      </c>
      <c r="N1158" s="7">
        <v>2346875</v>
      </c>
    </row>
    <row r="1159" spans="1:14" x14ac:dyDescent="0.3">
      <c r="A1159" s="5" t="s">
        <v>157</v>
      </c>
      <c r="B1159" s="6" t="s">
        <v>7</v>
      </c>
      <c r="C1159" s="6">
        <v>9562366</v>
      </c>
      <c r="D1159" s="6">
        <v>142179</v>
      </c>
      <c r="E1159" s="6">
        <v>7755811</v>
      </c>
      <c r="F1159" s="6"/>
      <c r="G1159" s="7">
        <f t="shared" si="72"/>
        <v>1664376</v>
      </c>
      <c r="H1159" s="12">
        <f t="shared" si="73"/>
        <v>1.4868600511630699</v>
      </c>
      <c r="I1159" s="12">
        <f t="shared" si="74"/>
        <v>81.107656828864322</v>
      </c>
      <c r="J1159">
        <f t="shared" si="75"/>
        <v>43367</v>
      </c>
      <c r="M1159" s="5" t="s">
        <v>157</v>
      </c>
      <c r="N1159" s="7">
        <v>1664376</v>
      </c>
    </row>
    <row r="1160" spans="1:14" x14ac:dyDescent="0.3">
      <c r="A1160" s="5" t="s">
        <v>157</v>
      </c>
      <c r="B1160" s="6" t="s">
        <v>7</v>
      </c>
      <c r="C1160" s="6">
        <v>9564908</v>
      </c>
      <c r="D1160" s="6">
        <v>172456</v>
      </c>
      <c r="E1160" s="6">
        <v>8146037</v>
      </c>
      <c r="F1160" s="6"/>
      <c r="G1160" s="7">
        <f t="shared" si="72"/>
        <v>1246415</v>
      </c>
      <c r="H1160" s="12">
        <f t="shared" si="73"/>
        <v>1.8030074100033162</v>
      </c>
      <c r="I1160" s="12">
        <f t="shared" si="74"/>
        <v>85.165868819647812</v>
      </c>
      <c r="J1160">
        <f t="shared" si="75"/>
        <v>2542</v>
      </c>
      <c r="M1160" s="5" t="s">
        <v>157</v>
      </c>
      <c r="N1160" s="7">
        <v>1246415</v>
      </c>
    </row>
    <row r="1161" spans="1:14" x14ac:dyDescent="0.3">
      <c r="A1161" s="5" t="s">
        <v>157</v>
      </c>
      <c r="B1161" s="6" t="s">
        <v>7</v>
      </c>
      <c r="C1161" s="6">
        <v>9578332</v>
      </c>
      <c r="D1161" s="6">
        <v>182095</v>
      </c>
      <c r="E1161" s="6">
        <v>7868343</v>
      </c>
      <c r="F1161" s="6"/>
      <c r="G1161" s="7">
        <f t="shared" si="72"/>
        <v>1527894</v>
      </c>
      <c r="H1161" s="12">
        <f t="shared" si="73"/>
        <v>1.9011138891406143</v>
      </c>
      <c r="I1161" s="12">
        <f t="shared" si="74"/>
        <v>82.147319595938001</v>
      </c>
      <c r="J1161">
        <f t="shared" si="75"/>
        <v>13424</v>
      </c>
      <c r="M1161" s="5" t="s">
        <v>157</v>
      </c>
      <c r="N1161" s="7">
        <v>1527894</v>
      </c>
    </row>
    <row r="1162" spans="1:14" x14ac:dyDescent="0.3">
      <c r="A1162" s="5" t="s">
        <v>158</v>
      </c>
      <c r="B1162" s="6" t="s">
        <v>7</v>
      </c>
      <c r="C1162" s="6">
        <v>9583186</v>
      </c>
      <c r="D1162" s="6">
        <v>196960</v>
      </c>
      <c r="E1162" s="6">
        <v>7597361</v>
      </c>
      <c r="F1162" s="6"/>
      <c r="G1162" s="7">
        <f t="shared" si="72"/>
        <v>1788865</v>
      </c>
      <c r="H1162" s="12">
        <f t="shared" si="73"/>
        <v>2.0552663800953046</v>
      </c>
      <c r="I1162" s="12">
        <f t="shared" si="74"/>
        <v>79.278029248310531</v>
      </c>
      <c r="J1162">
        <f t="shared" si="75"/>
        <v>4854</v>
      </c>
      <c r="M1162" s="5" t="s">
        <v>158</v>
      </c>
      <c r="N1162" s="7">
        <v>1788865</v>
      </c>
    </row>
    <row r="1163" spans="1:14" x14ac:dyDescent="0.3">
      <c r="A1163" s="5" t="s">
        <v>158</v>
      </c>
      <c r="B1163" s="6" t="s">
        <v>7</v>
      </c>
      <c r="C1163" s="6">
        <v>9602500</v>
      </c>
      <c r="D1163" s="6">
        <v>111352</v>
      </c>
      <c r="E1163" s="6">
        <v>8044302</v>
      </c>
      <c r="F1163" s="6"/>
      <c r="G1163" s="7">
        <f t="shared" si="72"/>
        <v>1446846</v>
      </c>
      <c r="H1163" s="12">
        <f t="shared" si="73"/>
        <v>1.1596146836761261</v>
      </c>
      <c r="I1163" s="12">
        <f t="shared" si="74"/>
        <v>83.77299661546472</v>
      </c>
      <c r="J1163">
        <f t="shared" si="75"/>
        <v>19314</v>
      </c>
      <c r="M1163" s="5" t="s">
        <v>158</v>
      </c>
      <c r="N1163" s="7">
        <v>1446846</v>
      </c>
    </row>
    <row r="1164" spans="1:14" x14ac:dyDescent="0.3">
      <c r="A1164" s="5" t="s">
        <v>158</v>
      </c>
      <c r="B1164" s="6" t="s">
        <v>7</v>
      </c>
      <c r="C1164" s="6">
        <v>9604207</v>
      </c>
      <c r="D1164" s="6">
        <v>208705</v>
      </c>
      <c r="E1164" s="6">
        <v>7166306</v>
      </c>
      <c r="F1164" s="6"/>
      <c r="G1164" s="7">
        <f t="shared" si="72"/>
        <v>2229196</v>
      </c>
      <c r="H1164" s="12">
        <f t="shared" si="73"/>
        <v>2.1730581192179637</v>
      </c>
      <c r="I1164" s="12">
        <f t="shared" si="74"/>
        <v>74.616321784817842</v>
      </c>
      <c r="J1164">
        <f t="shared" si="75"/>
        <v>1707</v>
      </c>
      <c r="M1164" s="5" t="s">
        <v>158</v>
      </c>
      <c r="N1164" s="7">
        <v>2229196</v>
      </c>
    </row>
    <row r="1165" spans="1:14" x14ac:dyDescent="0.3">
      <c r="A1165" s="5" t="s">
        <v>158</v>
      </c>
      <c r="B1165" s="6" t="s">
        <v>7</v>
      </c>
      <c r="C1165" s="6">
        <v>9639520</v>
      </c>
      <c r="D1165" s="6">
        <v>123455</v>
      </c>
      <c r="E1165" s="6">
        <v>8190870</v>
      </c>
      <c r="F1165" s="6"/>
      <c r="G1165" s="7">
        <f t="shared" si="72"/>
        <v>1325195</v>
      </c>
      <c r="H1165" s="12">
        <f t="shared" si="73"/>
        <v>1.2807172971268279</v>
      </c>
      <c r="I1165" s="12">
        <f t="shared" si="74"/>
        <v>84.971762079439642</v>
      </c>
      <c r="J1165">
        <f t="shared" si="75"/>
        <v>35313</v>
      </c>
      <c r="M1165" s="5" t="s">
        <v>158</v>
      </c>
      <c r="N1165" s="7">
        <v>1325195</v>
      </c>
    </row>
    <row r="1166" spans="1:14" x14ac:dyDescent="0.3">
      <c r="A1166" s="5" t="s">
        <v>158</v>
      </c>
      <c r="B1166" s="6" t="s">
        <v>7</v>
      </c>
      <c r="C1166" s="6">
        <v>9646369</v>
      </c>
      <c r="D1166" s="6">
        <v>267530</v>
      </c>
      <c r="E1166" s="6">
        <v>7638067</v>
      </c>
      <c r="F1166" s="6"/>
      <c r="G1166" s="7">
        <f t="shared" si="72"/>
        <v>1740772</v>
      </c>
      <c r="H1166" s="12">
        <f t="shared" si="73"/>
        <v>2.7733751425018056</v>
      </c>
      <c r="I1166" s="12">
        <f t="shared" si="74"/>
        <v>79.180746662293345</v>
      </c>
      <c r="J1166">
        <f t="shared" si="75"/>
        <v>6849</v>
      </c>
      <c r="M1166" s="5" t="s">
        <v>158</v>
      </c>
      <c r="N1166" s="7">
        <v>1740772</v>
      </c>
    </row>
    <row r="1167" spans="1:14" x14ac:dyDescent="0.3">
      <c r="A1167" s="5" t="s">
        <v>158</v>
      </c>
      <c r="B1167" s="6" t="s">
        <v>7</v>
      </c>
      <c r="C1167" s="6">
        <v>9652488</v>
      </c>
      <c r="D1167" s="6">
        <v>247255</v>
      </c>
      <c r="E1167" s="6">
        <v>7143341</v>
      </c>
      <c r="F1167" s="6"/>
      <c r="G1167" s="7">
        <f t="shared" si="72"/>
        <v>2261892</v>
      </c>
      <c r="H1167" s="12">
        <f t="shared" si="73"/>
        <v>2.5615675461083192</v>
      </c>
      <c r="I1167" s="12">
        <f t="shared" si="74"/>
        <v>74.005178768417011</v>
      </c>
      <c r="J1167">
        <f t="shared" si="75"/>
        <v>6119</v>
      </c>
      <c r="M1167" s="5" t="s">
        <v>158</v>
      </c>
      <c r="N1167" s="7">
        <v>2261892</v>
      </c>
    </row>
    <row r="1168" spans="1:14" x14ac:dyDescent="0.3">
      <c r="A1168" s="5" t="s">
        <v>158</v>
      </c>
      <c r="B1168" s="6" t="s">
        <v>7</v>
      </c>
      <c r="C1168" s="6">
        <v>9674249</v>
      </c>
      <c r="D1168" s="6">
        <v>127990</v>
      </c>
      <c r="E1168" s="6">
        <v>8258178</v>
      </c>
      <c r="F1168" s="6"/>
      <c r="G1168" s="7">
        <f t="shared" si="72"/>
        <v>1288081</v>
      </c>
      <c r="H1168" s="12">
        <f t="shared" si="73"/>
        <v>1.3229967514791072</v>
      </c>
      <c r="I1168" s="12">
        <f t="shared" si="74"/>
        <v>85.362471030051012</v>
      </c>
      <c r="J1168">
        <f t="shared" si="75"/>
        <v>21761</v>
      </c>
      <c r="M1168" s="5" t="s">
        <v>158</v>
      </c>
      <c r="N1168" s="7">
        <v>1288081</v>
      </c>
    </row>
    <row r="1169" spans="1:14" x14ac:dyDescent="0.3">
      <c r="A1169" s="5" t="s">
        <v>158</v>
      </c>
      <c r="B1169" s="6" t="s">
        <v>7</v>
      </c>
      <c r="C1169" s="6">
        <v>9720862</v>
      </c>
      <c r="D1169" s="6">
        <v>198831</v>
      </c>
      <c r="E1169" s="6">
        <v>7894065</v>
      </c>
      <c r="F1169" s="6"/>
      <c r="G1169" s="7">
        <f t="shared" si="72"/>
        <v>1627966</v>
      </c>
      <c r="H1169" s="12">
        <f t="shared" si="73"/>
        <v>2.0454050268381549</v>
      </c>
      <c r="I1169" s="12">
        <f t="shared" si="74"/>
        <v>81.207458762401941</v>
      </c>
      <c r="J1169">
        <f t="shared" si="75"/>
        <v>46613</v>
      </c>
      <c r="M1169" s="5" t="s">
        <v>158</v>
      </c>
      <c r="N1169" s="7">
        <v>1627966</v>
      </c>
    </row>
    <row r="1170" spans="1:14" x14ac:dyDescent="0.3">
      <c r="A1170" s="5" t="s">
        <v>159</v>
      </c>
      <c r="B1170" s="6" t="s">
        <v>7</v>
      </c>
      <c r="C1170" s="6">
        <v>9740564</v>
      </c>
      <c r="D1170" s="6">
        <v>287147</v>
      </c>
      <c r="E1170" s="6">
        <v>7292978</v>
      </c>
      <c r="F1170" s="6"/>
      <c r="G1170" s="7">
        <f t="shared" si="72"/>
        <v>2160439</v>
      </c>
      <c r="H1170" s="12">
        <f t="shared" si="73"/>
        <v>2.9479504472225635</v>
      </c>
      <c r="I1170" s="12">
        <f t="shared" si="74"/>
        <v>74.872235324361085</v>
      </c>
      <c r="J1170">
        <f t="shared" si="75"/>
        <v>19702</v>
      </c>
      <c r="M1170" s="5" t="s">
        <v>159</v>
      </c>
      <c r="N1170" s="7">
        <v>2160439</v>
      </c>
    </row>
    <row r="1171" spans="1:14" x14ac:dyDescent="0.3">
      <c r="A1171" s="5" t="s">
        <v>159</v>
      </c>
      <c r="B1171" s="6" t="s">
        <v>7</v>
      </c>
      <c r="C1171" s="6">
        <v>9744603</v>
      </c>
      <c r="D1171" s="6">
        <v>281538</v>
      </c>
      <c r="E1171" s="6">
        <v>7838472</v>
      </c>
      <c r="F1171" s="6"/>
      <c r="G1171" s="7">
        <f t="shared" si="72"/>
        <v>1624593</v>
      </c>
      <c r="H1171" s="12">
        <f t="shared" si="73"/>
        <v>2.8891684966539941</v>
      </c>
      <c r="I1171" s="12">
        <f t="shared" si="74"/>
        <v>80.439110757000563</v>
      </c>
      <c r="J1171">
        <f t="shared" si="75"/>
        <v>4039</v>
      </c>
      <c r="M1171" s="5" t="s">
        <v>159</v>
      </c>
      <c r="N1171" s="7">
        <v>1624593</v>
      </c>
    </row>
    <row r="1172" spans="1:14" x14ac:dyDescent="0.3">
      <c r="A1172" s="5" t="s">
        <v>159</v>
      </c>
      <c r="B1172" s="6" t="s">
        <v>7</v>
      </c>
      <c r="C1172" s="6">
        <v>9748490</v>
      </c>
      <c r="D1172" s="6">
        <v>106569</v>
      </c>
      <c r="E1172" s="6">
        <v>7498005</v>
      </c>
      <c r="F1172" s="6"/>
      <c r="G1172" s="7">
        <f t="shared" si="72"/>
        <v>2143916</v>
      </c>
      <c r="H1172" s="12">
        <f t="shared" si="73"/>
        <v>1.0931846880901555</v>
      </c>
      <c r="I1172" s="12">
        <f t="shared" si="74"/>
        <v>76.914527275506259</v>
      </c>
      <c r="J1172">
        <f t="shared" si="75"/>
        <v>3887</v>
      </c>
      <c r="M1172" s="5" t="s">
        <v>159</v>
      </c>
      <c r="N1172" s="7">
        <v>2143916</v>
      </c>
    </row>
    <row r="1173" spans="1:14" x14ac:dyDescent="0.3">
      <c r="A1173" s="5" t="s">
        <v>159</v>
      </c>
      <c r="B1173" s="6" t="s">
        <v>7</v>
      </c>
      <c r="C1173" s="6">
        <v>9787776</v>
      </c>
      <c r="D1173" s="6">
        <v>99892</v>
      </c>
      <c r="E1173" s="6">
        <v>7270787</v>
      </c>
      <c r="F1173" s="6"/>
      <c r="G1173" s="7">
        <f t="shared" si="72"/>
        <v>2417097</v>
      </c>
      <c r="H1173" s="12">
        <f t="shared" si="73"/>
        <v>1.020579138713432</v>
      </c>
      <c r="I1173" s="12">
        <f t="shared" si="74"/>
        <v>74.284362453738211</v>
      </c>
      <c r="J1173">
        <f t="shared" si="75"/>
        <v>39286</v>
      </c>
      <c r="M1173" s="5" t="s">
        <v>159</v>
      </c>
      <c r="N1173" s="7">
        <v>2417097</v>
      </c>
    </row>
    <row r="1174" spans="1:14" x14ac:dyDescent="0.3">
      <c r="A1174" s="5" t="s">
        <v>159</v>
      </c>
      <c r="B1174" s="6" t="s">
        <v>7</v>
      </c>
      <c r="C1174" s="6">
        <v>9793143</v>
      </c>
      <c r="D1174" s="6">
        <v>241923</v>
      </c>
      <c r="E1174" s="6">
        <v>7843094</v>
      </c>
      <c r="F1174" s="6"/>
      <c r="G1174" s="7">
        <f t="shared" si="72"/>
        <v>1708126</v>
      </c>
      <c r="H1174" s="12">
        <f t="shared" si="73"/>
        <v>2.4703305159538669</v>
      </c>
      <c r="I1174" s="12">
        <f t="shared" si="74"/>
        <v>80.087608237723074</v>
      </c>
      <c r="J1174">
        <f t="shared" si="75"/>
        <v>5367</v>
      </c>
      <c r="M1174" s="5" t="s">
        <v>159</v>
      </c>
      <c r="N1174" s="7">
        <v>1708126</v>
      </c>
    </row>
    <row r="1175" spans="1:14" x14ac:dyDescent="0.3">
      <c r="A1175" s="5" t="s">
        <v>159</v>
      </c>
      <c r="B1175" s="6" t="s">
        <v>7</v>
      </c>
      <c r="C1175" s="6">
        <v>9801271</v>
      </c>
      <c r="D1175" s="6">
        <v>133598</v>
      </c>
      <c r="E1175" s="6">
        <v>7314807</v>
      </c>
      <c r="F1175" s="6"/>
      <c r="G1175" s="7">
        <f t="shared" si="72"/>
        <v>2352866</v>
      </c>
      <c r="H1175" s="12">
        <f t="shared" si="73"/>
        <v>1.3630681163698055</v>
      </c>
      <c r="I1175" s="12">
        <f t="shared" si="74"/>
        <v>74.631208544279616</v>
      </c>
      <c r="J1175">
        <f t="shared" si="75"/>
        <v>8128</v>
      </c>
      <c r="M1175" s="5" t="s">
        <v>159</v>
      </c>
      <c r="N1175" s="7">
        <v>2352866</v>
      </c>
    </row>
    <row r="1176" spans="1:14" x14ac:dyDescent="0.3">
      <c r="A1176" s="5" t="s">
        <v>159</v>
      </c>
      <c r="B1176" s="6" t="s">
        <v>7</v>
      </c>
      <c r="C1176" s="6">
        <v>9825041</v>
      </c>
      <c r="D1176" s="6">
        <v>245262</v>
      </c>
      <c r="E1176" s="6">
        <v>7244191</v>
      </c>
      <c r="F1176" s="6"/>
      <c r="G1176" s="7">
        <f t="shared" si="72"/>
        <v>2335588</v>
      </c>
      <c r="H1176" s="12">
        <f t="shared" si="73"/>
        <v>2.4962949264028516</v>
      </c>
      <c r="I1176" s="12">
        <f t="shared" si="74"/>
        <v>73.731916233224879</v>
      </c>
      <c r="J1176">
        <f t="shared" si="75"/>
        <v>23770</v>
      </c>
      <c r="M1176" s="5" t="s">
        <v>159</v>
      </c>
      <c r="N1176" s="7">
        <v>2335588</v>
      </c>
    </row>
    <row r="1177" spans="1:14" x14ac:dyDescent="0.3">
      <c r="A1177" s="5" t="s">
        <v>159</v>
      </c>
      <c r="B1177" s="6" t="s">
        <v>7</v>
      </c>
      <c r="C1177" s="6">
        <v>9860890</v>
      </c>
      <c r="D1177" s="6">
        <v>182632</v>
      </c>
      <c r="E1177" s="6">
        <v>6962865</v>
      </c>
      <c r="F1177" s="6"/>
      <c r="G1177" s="7">
        <f t="shared" si="72"/>
        <v>2715393</v>
      </c>
      <c r="H1177" s="12">
        <f t="shared" si="73"/>
        <v>1.8520843453278559</v>
      </c>
      <c r="I1177" s="12">
        <f t="shared" si="74"/>
        <v>70.610918487073675</v>
      </c>
      <c r="J1177">
        <f t="shared" si="75"/>
        <v>35849</v>
      </c>
      <c r="M1177" s="5" t="s">
        <v>159</v>
      </c>
      <c r="N1177" s="7">
        <v>2715393</v>
      </c>
    </row>
    <row r="1178" spans="1:14" x14ac:dyDescent="0.3">
      <c r="A1178" s="5" t="s">
        <v>160</v>
      </c>
      <c r="B1178" s="6" t="s">
        <v>7</v>
      </c>
      <c r="C1178" s="6">
        <v>9890932</v>
      </c>
      <c r="D1178" s="6">
        <v>250604</v>
      </c>
      <c r="E1178" s="6">
        <v>8793771</v>
      </c>
      <c r="F1178" s="6"/>
      <c r="G1178" s="7">
        <f t="shared" si="72"/>
        <v>846557</v>
      </c>
      <c r="H1178" s="12">
        <f t="shared" si="73"/>
        <v>2.5336742786220756</v>
      </c>
      <c r="I1178" s="12">
        <f t="shared" si="74"/>
        <v>88.907405287995104</v>
      </c>
      <c r="J1178">
        <f t="shared" si="75"/>
        <v>30042</v>
      </c>
      <c r="M1178" s="5" t="s">
        <v>160</v>
      </c>
      <c r="N1178" s="7">
        <v>846557</v>
      </c>
    </row>
    <row r="1179" spans="1:14" x14ac:dyDescent="0.3">
      <c r="A1179" s="5" t="s">
        <v>160</v>
      </c>
      <c r="B1179" s="6" t="s">
        <v>7</v>
      </c>
      <c r="C1179" s="6">
        <v>9898449</v>
      </c>
      <c r="D1179" s="6">
        <v>99029</v>
      </c>
      <c r="E1179" s="6">
        <v>7542985</v>
      </c>
      <c r="F1179" s="6"/>
      <c r="G1179" s="7">
        <f t="shared" si="72"/>
        <v>2256435</v>
      </c>
      <c r="H1179" s="12">
        <f t="shared" si="73"/>
        <v>1.000449666407333</v>
      </c>
      <c r="I1179" s="12">
        <f t="shared" si="74"/>
        <v>76.203706257414666</v>
      </c>
      <c r="J1179">
        <f t="shared" si="75"/>
        <v>7517</v>
      </c>
      <c r="M1179" s="5" t="s">
        <v>160</v>
      </c>
      <c r="N1179" s="7">
        <v>2256435</v>
      </c>
    </row>
    <row r="1180" spans="1:14" x14ac:dyDescent="0.3">
      <c r="A1180" s="5" t="s">
        <v>160</v>
      </c>
      <c r="B1180" s="6" t="s">
        <v>7</v>
      </c>
      <c r="C1180" s="6">
        <v>9910445</v>
      </c>
      <c r="D1180" s="6">
        <v>183283</v>
      </c>
      <c r="E1180" s="6">
        <v>8831779</v>
      </c>
      <c r="F1180" s="6"/>
      <c r="G1180" s="7">
        <f t="shared" si="72"/>
        <v>895383</v>
      </c>
      <c r="H1180" s="12">
        <f t="shared" si="73"/>
        <v>1.8493922321348839</v>
      </c>
      <c r="I1180" s="12">
        <f t="shared" si="74"/>
        <v>89.115867148246124</v>
      </c>
      <c r="J1180">
        <f t="shared" si="75"/>
        <v>11996</v>
      </c>
      <c r="M1180" s="5" t="s">
        <v>160</v>
      </c>
      <c r="N1180" s="7">
        <v>895383</v>
      </c>
    </row>
    <row r="1181" spans="1:14" x14ac:dyDescent="0.3">
      <c r="A1181" s="5" t="s">
        <v>160</v>
      </c>
      <c r="B1181" s="6" t="s">
        <v>7</v>
      </c>
      <c r="C1181" s="6">
        <v>9923149</v>
      </c>
      <c r="D1181" s="6">
        <v>239708</v>
      </c>
      <c r="E1181" s="6">
        <v>8293309</v>
      </c>
      <c r="F1181" s="6"/>
      <c r="G1181" s="7">
        <f t="shared" si="72"/>
        <v>1390132</v>
      </c>
      <c r="H1181" s="12">
        <f t="shared" si="73"/>
        <v>2.4156444693111028</v>
      </c>
      <c r="I1181" s="12">
        <f t="shared" si="74"/>
        <v>83.575375115298584</v>
      </c>
      <c r="J1181">
        <f t="shared" si="75"/>
        <v>12704</v>
      </c>
      <c r="M1181" s="5" t="s">
        <v>160</v>
      </c>
      <c r="N1181" s="7">
        <v>1390132</v>
      </c>
    </row>
    <row r="1182" spans="1:14" x14ac:dyDescent="0.3">
      <c r="A1182" s="5" t="s">
        <v>160</v>
      </c>
      <c r="B1182" s="6" t="s">
        <v>7</v>
      </c>
      <c r="C1182" s="6">
        <v>9957036</v>
      </c>
      <c r="D1182" s="6">
        <v>235571</v>
      </c>
      <c r="E1182" s="6">
        <v>8168394</v>
      </c>
      <c r="F1182" s="6"/>
      <c r="G1182" s="7">
        <f t="shared" si="72"/>
        <v>1553071</v>
      </c>
      <c r="H1182" s="12">
        <f t="shared" si="73"/>
        <v>2.3658747442512009</v>
      </c>
      <c r="I1182" s="12">
        <f t="shared" si="74"/>
        <v>82.036401194090288</v>
      </c>
      <c r="J1182">
        <f t="shared" si="75"/>
        <v>33887</v>
      </c>
      <c r="M1182" s="5" t="s">
        <v>160</v>
      </c>
      <c r="N1182" s="7">
        <v>1553071</v>
      </c>
    </row>
    <row r="1183" spans="1:14" x14ac:dyDescent="0.3">
      <c r="A1183" s="5" t="s">
        <v>160</v>
      </c>
      <c r="B1183" s="6" t="s">
        <v>7</v>
      </c>
      <c r="C1183" s="6">
        <v>9995516</v>
      </c>
      <c r="D1183" s="6">
        <v>109798</v>
      </c>
      <c r="E1183" s="6">
        <v>8970373</v>
      </c>
      <c r="F1183" s="6"/>
      <c r="G1183" s="7">
        <f t="shared" si="72"/>
        <v>915345</v>
      </c>
      <c r="H1183" s="12">
        <f t="shared" si="73"/>
        <v>1.098472555093704</v>
      </c>
      <c r="I1183" s="12">
        <f t="shared" si="74"/>
        <v>89.743971196684598</v>
      </c>
      <c r="J1183">
        <f t="shared" si="75"/>
        <v>38480</v>
      </c>
      <c r="M1183" s="5" t="s">
        <v>160</v>
      </c>
      <c r="N1183" s="7">
        <v>915345</v>
      </c>
    </row>
    <row r="1184" spans="1:14" x14ac:dyDescent="0.3">
      <c r="A1184" s="5" t="s">
        <v>160</v>
      </c>
      <c r="B1184" s="6" t="s">
        <v>7</v>
      </c>
      <c r="C1184" s="6">
        <v>10033695</v>
      </c>
      <c r="D1184" s="6">
        <v>160698</v>
      </c>
      <c r="E1184" s="6">
        <v>8790873</v>
      </c>
      <c r="F1184" s="6"/>
      <c r="G1184" s="7">
        <f t="shared" si="72"/>
        <v>1082124</v>
      </c>
      <c r="H1184" s="12">
        <f t="shared" si="73"/>
        <v>1.6015834645163123</v>
      </c>
      <c r="I1184" s="12">
        <f t="shared" si="74"/>
        <v>87.613516256972133</v>
      </c>
      <c r="J1184">
        <f t="shared" si="75"/>
        <v>38179</v>
      </c>
      <c r="M1184" s="5" t="s">
        <v>160</v>
      </c>
      <c r="N1184" s="7">
        <v>1082124</v>
      </c>
    </row>
    <row r="1185" spans="1:14" x14ac:dyDescent="0.3">
      <c r="A1185" s="5" t="s">
        <v>160</v>
      </c>
      <c r="B1185" s="6" t="s">
        <v>7</v>
      </c>
      <c r="C1185" s="6">
        <v>10069238</v>
      </c>
      <c r="D1185" s="6">
        <v>159162</v>
      </c>
      <c r="E1185" s="6">
        <v>7250638</v>
      </c>
      <c r="F1185" s="6"/>
      <c r="G1185" s="7">
        <f t="shared" si="72"/>
        <v>2659438</v>
      </c>
      <c r="H1185" s="12">
        <f t="shared" si="73"/>
        <v>1.5806757174673991</v>
      </c>
      <c r="I1185" s="12">
        <f t="shared" si="74"/>
        <v>72.007812309134025</v>
      </c>
      <c r="J1185">
        <f t="shared" si="75"/>
        <v>35543</v>
      </c>
      <c r="M1185" s="5" t="s">
        <v>160</v>
      </c>
      <c r="N1185" s="7">
        <v>2659438</v>
      </c>
    </row>
    <row r="1186" spans="1:14" x14ac:dyDescent="0.3">
      <c r="A1186" s="5" t="s">
        <v>161</v>
      </c>
      <c r="B1186" s="6" t="s">
        <v>7</v>
      </c>
      <c r="C1186" s="6">
        <v>10085480</v>
      </c>
      <c r="D1186" s="6">
        <v>286734</v>
      </c>
      <c r="E1186" s="6">
        <v>9056555</v>
      </c>
      <c r="F1186" s="6"/>
      <c r="G1186" s="7">
        <f t="shared" si="72"/>
        <v>742191</v>
      </c>
      <c r="H1186" s="12">
        <f t="shared" si="73"/>
        <v>2.8430377136239424</v>
      </c>
      <c r="I1186" s="12">
        <f t="shared" si="74"/>
        <v>89.797957063025251</v>
      </c>
      <c r="J1186">
        <f t="shared" si="75"/>
        <v>16242</v>
      </c>
      <c r="M1186" s="5" t="s">
        <v>161</v>
      </c>
      <c r="N1186" s="7">
        <v>742191</v>
      </c>
    </row>
    <row r="1187" spans="1:14" x14ac:dyDescent="0.3">
      <c r="A1187" s="5" t="s">
        <v>161</v>
      </c>
      <c r="B1187" s="6" t="s">
        <v>7</v>
      </c>
      <c r="C1187" s="6">
        <v>10091071</v>
      </c>
      <c r="D1187" s="6">
        <v>116464</v>
      </c>
      <c r="E1187" s="6">
        <v>8711894</v>
      </c>
      <c r="F1187" s="6"/>
      <c r="G1187" s="7">
        <f t="shared" si="72"/>
        <v>1262713</v>
      </c>
      <c r="H1187" s="12">
        <f t="shared" si="73"/>
        <v>1.1541292296922694</v>
      </c>
      <c r="I1187" s="12">
        <f t="shared" si="74"/>
        <v>86.332699472632797</v>
      </c>
      <c r="J1187">
        <f t="shared" si="75"/>
        <v>5591</v>
      </c>
      <c r="M1187" s="5" t="s">
        <v>161</v>
      </c>
      <c r="N1187" s="7">
        <v>1262713</v>
      </c>
    </row>
    <row r="1188" spans="1:14" x14ac:dyDescent="0.3">
      <c r="A1188" s="5" t="s">
        <v>161</v>
      </c>
      <c r="B1188" s="6" t="s">
        <v>7</v>
      </c>
      <c r="C1188" s="6">
        <v>10112887</v>
      </c>
      <c r="D1188" s="6">
        <v>108649</v>
      </c>
      <c r="E1188" s="6">
        <v>7465039</v>
      </c>
      <c r="F1188" s="6"/>
      <c r="G1188" s="7">
        <f t="shared" si="72"/>
        <v>2539199</v>
      </c>
      <c r="H1188" s="12">
        <f t="shared" si="73"/>
        <v>1.074361851368457</v>
      </c>
      <c r="I1188" s="12">
        <f t="shared" si="74"/>
        <v>73.817091004774397</v>
      </c>
      <c r="J1188">
        <f t="shared" si="75"/>
        <v>21816</v>
      </c>
      <c r="M1188" s="5" t="s">
        <v>161</v>
      </c>
      <c r="N1188" s="7">
        <v>2539199</v>
      </c>
    </row>
    <row r="1189" spans="1:14" x14ac:dyDescent="0.3">
      <c r="A1189" s="5" t="s">
        <v>161</v>
      </c>
      <c r="B1189" s="6" t="s">
        <v>7</v>
      </c>
      <c r="C1189" s="6">
        <v>10128941</v>
      </c>
      <c r="D1189" s="6">
        <v>249155</v>
      </c>
      <c r="E1189" s="6">
        <v>7191224</v>
      </c>
      <c r="F1189" s="6"/>
      <c r="G1189" s="7">
        <f t="shared" si="72"/>
        <v>2688562</v>
      </c>
      <c r="H1189" s="12">
        <f t="shared" si="73"/>
        <v>2.45983267154977</v>
      </c>
      <c r="I1189" s="12">
        <f t="shared" si="74"/>
        <v>70.996800159068954</v>
      </c>
      <c r="J1189">
        <f t="shared" si="75"/>
        <v>16054</v>
      </c>
      <c r="M1189" s="5" t="s">
        <v>161</v>
      </c>
      <c r="N1189" s="7">
        <v>2688562</v>
      </c>
    </row>
    <row r="1190" spans="1:14" x14ac:dyDescent="0.3">
      <c r="A1190" s="5" t="s">
        <v>161</v>
      </c>
      <c r="B1190" s="6" t="s">
        <v>7</v>
      </c>
      <c r="C1190" s="6">
        <v>10158511</v>
      </c>
      <c r="D1190" s="6">
        <v>295670</v>
      </c>
      <c r="E1190" s="6">
        <v>8025945</v>
      </c>
      <c r="F1190" s="6"/>
      <c r="G1190" s="7">
        <f t="shared" si="72"/>
        <v>1836896</v>
      </c>
      <c r="H1190" s="12">
        <f t="shared" si="73"/>
        <v>2.9105643533781671</v>
      </c>
      <c r="I1190" s="12">
        <f t="shared" si="74"/>
        <v>79.007100548495728</v>
      </c>
      <c r="J1190">
        <f t="shared" si="75"/>
        <v>29570</v>
      </c>
      <c r="M1190" s="5" t="s">
        <v>161</v>
      </c>
      <c r="N1190" s="7">
        <v>1836896</v>
      </c>
    </row>
    <row r="1191" spans="1:14" x14ac:dyDescent="0.3">
      <c r="A1191" s="5" t="s">
        <v>161</v>
      </c>
      <c r="B1191" s="6" t="s">
        <v>7</v>
      </c>
      <c r="C1191" s="6">
        <v>10178972</v>
      </c>
      <c r="D1191" s="6">
        <v>169101</v>
      </c>
      <c r="E1191" s="6">
        <v>8238364</v>
      </c>
      <c r="F1191" s="6"/>
      <c r="G1191" s="7">
        <f t="shared" si="72"/>
        <v>1771507</v>
      </c>
      <c r="H1191" s="12">
        <f t="shared" si="73"/>
        <v>1.6612777793278144</v>
      </c>
      <c r="I1191" s="12">
        <f t="shared" si="74"/>
        <v>80.935127830197402</v>
      </c>
      <c r="J1191">
        <f t="shared" si="75"/>
        <v>20461</v>
      </c>
      <c r="M1191" s="5" t="s">
        <v>161</v>
      </c>
      <c r="N1191" s="7">
        <v>1771507</v>
      </c>
    </row>
    <row r="1192" spans="1:14" x14ac:dyDescent="0.3">
      <c r="A1192" s="5" t="s">
        <v>161</v>
      </c>
      <c r="B1192" s="6" t="s">
        <v>7</v>
      </c>
      <c r="C1192" s="6">
        <v>10209716</v>
      </c>
      <c r="D1192" s="6">
        <v>153157</v>
      </c>
      <c r="E1192" s="6">
        <v>7476767</v>
      </c>
      <c r="F1192" s="6"/>
      <c r="G1192" s="7">
        <f t="shared" si="72"/>
        <v>2579792</v>
      </c>
      <c r="H1192" s="12">
        <f t="shared" si="73"/>
        <v>1.5001102871029908</v>
      </c>
      <c r="I1192" s="12">
        <f t="shared" si="74"/>
        <v>73.231880299118998</v>
      </c>
      <c r="J1192">
        <f t="shared" si="75"/>
        <v>30744</v>
      </c>
      <c r="M1192" s="5" t="s">
        <v>161</v>
      </c>
      <c r="N1192" s="7">
        <v>2579792</v>
      </c>
    </row>
    <row r="1193" spans="1:14" x14ac:dyDescent="0.3">
      <c r="A1193" s="5" t="s">
        <v>161</v>
      </c>
      <c r="B1193" s="6" t="s">
        <v>7</v>
      </c>
      <c r="C1193" s="6">
        <v>10259385</v>
      </c>
      <c r="D1193" s="6">
        <v>250941</v>
      </c>
      <c r="E1193" s="6">
        <v>7784925</v>
      </c>
      <c r="F1193" s="6"/>
      <c r="G1193" s="7">
        <f t="shared" si="72"/>
        <v>2223519</v>
      </c>
      <c r="H1193" s="12">
        <f t="shared" si="73"/>
        <v>2.4459653283310843</v>
      </c>
      <c r="I1193" s="12">
        <f t="shared" si="74"/>
        <v>75.881010411442801</v>
      </c>
      <c r="J1193">
        <f t="shared" si="75"/>
        <v>49669</v>
      </c>
      <c r="M1193" s="5" t="s">
        <v>161</v>
      </c>
      <c r="N1193" s="7">
        <v>2223519</v>
      </c>
    </row>
    <row r="1194" spans="1:14" x14ac:dyDescent="0.3">
      <c r="A1194" s="5" t="s">
        <v>162</v>
      </c>
      <c r="B1194" s="6" t="s">
        <v>7</v>
      </c>
      <c r="C1194" s="6">
        <v>10274190</v>
      </c>
      <c r="D1194" s="6">
        <v>162327</v>
      </c>
      <c r="E1194" s="6">
        <v>9120930</v>
      </c>
      <c r="F1194" s="6"/>
      <c r="G1194" s="7">
        <f t="shared" si="72"/>
        <v>990933</v>
      </c>
      <c r="H1194" s="12">
        <f t="shared" si="73"/>
        <v>1.5799493682713674</v>
      </c>
      <c r="I1194" s="12">
        <f t="shared" si="74"/>
        <v>88.775173517328369</v>
      </c>
      <c r="J1194">
        <f t="shared" si="75"/>
        <v>14805</v>
      </c>
      <c r="M1194" s="5" t="s">
        <v>162</v>
      </c>
      <c r="N1194" s="7">
        <v>990933</v>
      </c>
    </row>
    <row r="1195" spans="1:14" x14ac:dyDescent="0.3">
      <c r="A1195" s="5" t="s">
        <v>162</v>
      </c>
      <c r="B1195" s="6" t="s">
        <v>7</v>
      </c>
      <c r="C1195" s="6">
        <v>10285299</v>
      </c>
      <c r="D1195" s="6">
        <v>157958</v>
      </c>
      <c r="E1195" s="6">
        <v>8724789</v>
      </c>
      <c r="F1195" s="6"/>
      <c r="G1195" s="7">
        <f t="shared" si="72"/>
        <v>1402552</v>
      </c>
      <c r="H1195" s="12">
        <f t="shared" si="73"/>
        <v>1.5357647842809432</v>
      </c>
      <c r="I1195" s="12">
        <f t="shared" si="74"/>
        <v>84.827762420907746</v>
      </c>
      <c r="J1195">
        <f t="shared" si="75"/>
        <v>11109</v>
      </c>
      <c r="M1195" s="5" t="s">
        <v>162</v>
      </c>
      <c r="N1195" s="7">
        <v>1402552</v>
      </c>
    </row>
    <row r="1196" spans="1:14" x14ac:dyDescent="0.3">
      <c r="A1196" s="5" t="s">
        <v>162</v>
      </c>
      <c r="B1196" s="6" t="s">
        <v>7</v>
      </c>
      <c r="C1196" s="6">
        <v>10298520</v>
      </c>
      <c r="D1196" s="6">
        <v>236853</v>
      </c>
      <c r="E1196" s="6">
        <v>8790191</v>
      </c>
      <c r="F1196" s="6"/>
      <c r="G1196" s="7">
        <f t="shared" si="72"/>
        <v>1271476</v>
      </c>
      <c r="H1196" s="12">
        <f t="shared" si="73"/>
        <v>2.2998741566749397</v>
      </c>
      <c r="I1196" s="12">
        <f t="shared" si="74"/>
        <v>85.353924641598994</v>
      </c>
      <c r="J1196">
        <f t="shared" si="75"/>
        <v>13221</v>
      </c>
      <c r="M1196" s="5" t="s">
        <v>162</v>
      </c>
      <c r="N1196" s="7">
        <v>1271476</v>
      </c>
    </row>
    <row r="1197" spans="1:14" x14ac:dyDescent="0.3">
      <c r="A1197" s="5" t="s">
        <v>162</v>
      </c>
      <c r="B1197" s="6" t="s">
        <v>7</v>
      </c>
      <c r="C1197" s="6">
        <v>10331612</v>
      </c>
      <c r="D1197" s="6">
        <v>174914</v>
      </c>
      <c r="E1197" s="6">
        <v>9090089</v>
      </c>
      <c r="F1197" s="6"/>
      <c r="G1197" s="7">
        <f t="shared" si="72"/>
        <v>1066609</v>
      </c>
      <c r="H1197" s="12">
        <f t="shared" si="73"/>
        <v>1.6929981497563011</v>
      </c>
      <c r="I1197" s="12">
        <f t="shared" si="74"/>
        <v>87.983259533943013</v>
      </c>
      <c r="J1197">
        <f t="shared" si="75"/>
        <v>33092</v>
      </c>
      <c r="M1197" s="5" t="s">
        <v>162</v>
      </c>
      <c r="N1197" s="7">
        <v>1066609</v>
      </c>
    </row>
    <row r="1198" spans="1:14" x14ac:dyDescent="0.3">
      <c r="A1198" s="5" t="s">
        <v>162</v>
      </c>
      <c r="B1198" s="6" t="s">
        <v>7</v>
      </c>
      <c r="C1198" s="6">
        <v>10360239</v>
      </c>
      <c r="D1198" s="6">
        <v>205186</v>
      </c>
      <c r="E1198" s="6">
        <v>7266300</v>
      </c>
      <c r="F1198" s="6"/>
      <c r="G1198" s="7">
        <f t="shared" si="72"/>
        <v>2888753</v>
      </c>
      <c r="H1198" s="12">
        <f t="shared" si="73"/>
        <v>1.9805141560923449</v>
      </c>
      <c r="I1198" s="12">
        <f t="shared" si="74"/>
        <v>70.136412876189439</v>
      </c>
      <c r="J1198">
        <f t="shared" si="75"/>
        <v>28627</v>
      </c>
      <c r="M1198" s="5" t="s">
        <v>162</v>
      </c>
      <c r="N1198" s="7">
        <v>2888753</v>
      </c>
    </row>
    <row r="1199" spans="1:14" x14ac:dyDescent="0.3">
      <c r="A1199" s="5" t="s">
        <v>162</v>
      </c>
      <c r="B1199" s="6" t="s">
        <v>7</v>
      </c>
      <c r="C1199" s="6">
        <v>10368287</v>
      </c>
      <c r="D1199" s="6">
        <v>215419</v>
      </c>
      <c r="E1199" s="6">
        <v>8825579</v>
      </c>
      <c r="F1199" s="6"/>
      <c r="G1199" s="7">
        <f t="shared" si="72"/>
        <v>1327289</v>
      </c>
      <c r="H1199" s="12">
        <f t="shared" si="73"/>
        <v>2.0776720397496713</v>
      </c>
      <c r="I1199" s="12">
        <f t="shared" si="74"/>
        <v>85.12089798440185</v>
      </c>
      <c r="J1199">
        <f t="shared" si="75"/>
        <v>8048</v>
      </c>
      <c r="M1199" s="5" t="s">
        <v>162</v>
      </c>
      <c r="N1199" s="7">
        <v>1327289</v>
      </c>
    </row>
    <row r="1200" spans="1:14" x14ac:dyDescent="0.3">
      <c r="A1200" s="5" t="s">
        <v>162</v>
      </c>
      <c r="B1200" s="6" t="s">
        <v>7</v>
      </c>
      <c r="C1200" s="6">
        <v>10403737</v>
      </c>
      <c r="D1200" s="6">
        <v>279003</v>
      </c>
      <c r="E1200" s="6">
        <v>8229152</v>
      </c>
      <c r="F1200" s="6"/>
      <c r="G1200" s="7">
        <f t="shared" si="72"/>
        <v>1895582</v>
      </c>
      <c r="H1200" s="12">
        <f t="shared" si="73"/>
        <v>2.6817575261658382</v>
      </c>
      <c r="I1200" s="12">
        <f t="shared" si="74"/>
        <v>79.09803948331259</v>
      </c>
      <c r="J1200">
        <f t="shared" si="75"/>
        <v>35450</v>
      </c>
      <c r="M1200" s="5" t="s">
        <v>162</v>
      </c>
      <c r="N1200" s="7">
        <v>1895582</v>
      </c>
    </row>
    <row r="1201" spans="1:14" x14ac:dyDescent="0.3">
      <c r="A1201" s="5" t="s">
        <v>162</v>
      </c>
      <c r="B1201" s="6" t="s">
        <v>7</v>
      </c>
      <c r="C1201" s="6">
        <v>10430974</v>
      </c>
      <c r="D1201" s="6">
        <v>202376</v>
      </c>
      <c r="E1201" s="6">
        <v>8229903</v>
      </c>
      <c r="F1201" s="6"/>
      <c r="G1201" s="7">
        <f t="shared" si="72"/>
        <v>1998695</v>
      </c>
      <c r="H1201" s="12">
        <f t="shared" si="73"/>
        <v>1.9401448033520168</v>
      </c>
      <c r="I1201" s="12">
        <f t="shared" si="74"/>
        <v>78.898701118419041</v>
      </c>
      <c r="J1201">
        <f t="shared" si="75"/>
        <v>27237</v>
      </c>
      <c r="M1201" s="5" t="s">
        <v>162</v>
      </c>
      <c r="N1201" s="7">
        <v>1998695</v>
      </c>
    </row>
  </sheetData>
  <sortState xmlns:xlrd2="http://schemas.microsoft.com/office/spreadsheetml/2017/richdata2" ref="A2:A1202">
    <sortCondition ref="A2:A120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A1D2-41C0-4B4B-BFDE-0054CF986A4C}">
  <dimension ref="A3:L154"/>
  <sheetViews>
    <sheetView topLeftCell="A2" workbookViewId="0">
      <selection activeCell="M15" sqref="M15"/>
    </sheetView>
  </sheetViews>
  <sheetFormatPr defaultRowHeight="14.4" x14ac:dyDescent="0.3"/>
  <cols>
    <col min="1" max="1" width="10.77734375" bestFit="1" customWidth="1"/>
    <col min="2" max="2" width="14.33203125" bestFit="1" customWidth="1"/>
    <col min="5" max="5" width="10.77734375" bestFit="1" customWidth="1"/>
    <col min="6" max="6" width="14.33203125" bestFit="1" customWidth="1"/>
    <col min="8" max="8" width="10.77734375" bestFit="1" customWidth="1"/>
    <col min="9" max="9" width="14.33203125" bestFit="1" customWidth="1"/>
    <col min="10" max="10" width="14.6640625" bestFit="1" customWidth="1"/>
    <col min="12" max="12" width="12.77734375" bestFit="1" customWidth="1"/>
  </cols>
  <sheetData>
    <row r="3" spans="1:12" x14ac:dyDescent="0.3">
      <c r="A3" s="15" t="s">
        <v>1</v>
      </c>
      <c r="B3" t="s">
        <v>169</v>
      </c>
      <c r="E3" s="15" t="s">
        <v>0</v>
      </c>
      <c r="F3" t="s">
        <v>169</v>
      </c>
      <c r="H3" s="15" t="s">
        <v>1</v>
      </c>
      <c r="I3" t="s">
        <v>171</v>
      </c>
      <c r="J3" t="s">
        <v>170</v>
      </c>
    </row>
    <row r="4" spans="1:12" x14ac:dyDescent="0.3">
      <c r="A4" s="16" t="s">
        <v>13</v>
      </c>
      <c r="B4" s="17">
        <v>2784296132</v>
      </c>
      <c r="E4" s="16" t="s">
        <v>5</v>
      </c>
      <c r="F4" s="17">
        <v>45196084</v>
      </c>
      <c r="H4" s="16" t="s">
        <v>8</v>
      </c>
      <c r="I4" s="17">
        <v>21982118</v>
      </c>
      <c r="J4" s="17">
        <v>903269218</v>
      </c>
    </row>
    <row r="5" spans="1:12" x14ac:dyDescent="0.3">
      <c r="A5" s="16" t="s">
        <v>6</v>
      </c>
      <c r="B5" s="17">
        <v>2662107331</v>
      </c>
      <c r="E5" s="16" t="s">
        <v>14</v>
      </c>
      <c r="F5" s="17">
        <v>47044256</v>
      </c>
      <c r="H5" s="16" t="s">
        <v>11</v>
      </c>
      <c r="I5" s="17">
        <v>51609873</v>
      </c>
      <c r="J5" s="17">
        <v>2093744803</v>
      </c>
    </row>
    <row r="6" spans="1:12" x14ac:dyDescent="0.3">
      <c r="A6" s="16" t="s">
        <v>11</v>
      </c>
      <c r="B6" s="17">
        <v>2605306065</v>
      </c>
      <c r="E6" s="16" t="s">
        <v>15</v>
      </c>
      <c r="F6" s="17">
        <v>48793848</v>
      </c>
      <c r="H6" s="16" t="s">
        <v>12</v>
      </c>
      <c r="I6" s="17">
        <v>47025523</v>
      </c>
      <c r="J6" s="17">
        <v>1863953440</v>
      </c>
      <c r="L6" s="17">
        <v>2216032499</v>
      </c>
    </row>
    <row r="7" spans="1:12" x14ac:dyDescent="0.3">
      <c r="A7" s="16" t="s">
        <v>12</v>
      </c>
      <c r="B7" s="17">
        <v>2337663194</v>
      </c>
      <c r="E7" s="16" t="s">
        <v>16</v>
      </c>
      <c r="F7" s="17">
        <v>50505089</v>
      </c>
      <c r="H7" s="16" t="s">
        <v>6</v>
      </c>
      <c r="I7" s="17">
        <v>53774027</v>
      </c>
      <c r="J7" s="17">
        <v>2135171328</v>
      </c>
      <c r="L7" s="17">
        <v>2135171328</v>
      </c>
    </row>
    <row r="8" spans="1:12" x14ac:dyDescent="0.3">
      <c r="A8" s="16" t="s">
        <v>10</v>
      </c>
      <c r="B8" s="17">
        <v>1465387411</v>
      </c>
      <c r="E8" s="16" t="s">
        <v>17</v>
      </c>
      <c r="F8" s="17">
        <v>52413630</v>
      </c>
      <c r="H8" s="16" t="s">
        <v>13</v>
      </c>
      <c r="I8" s="17">
        <v>52690412</v>
      </c>
      <c r="J8" s="17">
        <v>2216032499</v>
      </c>
      <c r="L8" s="17">
        <v>2093744803</v>
      </c>
    </row>
    <row r="9" spans="1:12" x14ac:dyDescent="0.3">
      <c r="A9" s="16" t="s">
        <v>7</v>
      </c>
      <c r="B9" s="17">
        <v>1301224178</v>
      </c>
      <c r="E9" s="16" t="s">
        <v>18</v>
      </c>
      <c r="F9" s="17">
        <v>53883503</v>
      </c>
      <c r="H9" s="16" t="s">
        <v>10</v>
      </c>
      <c r="I9" s="17">
        <v>29206391</v>
      </c>
      <c r="J9" s="17">
        <v>1181212771</v>
      </c>
      <c r="L9" s="17">
        <v>1863953440</v>
      </c>
    </row>
    <row r="10" spans="1:12" x14ac:dyDescent="0.3">
      <c r="A10" s="16" t="s">
        <v>9</v>
      </c>
      <c r="B10" s="17">
        <v>1157700766</v>
      </c>
      <c r="E10" s="16" t="s">
        <v>19</v>
      </c>
      <c r="F10" s="17">
        <v>55314601</v>
      </c>
      <c r="H10" s="16" t="s">
        <v>9</v>
      </c>
      <c r="I10" s="17">
        <v>22309017</v>
      </c>
      <c r="J10" s="17">
        <v>930154750</v>
      </c>
      <c r="L10" s="17">
        <v>1181212771</v>
      </c>
    </row>
    <row r="11" spans="1:12" x14ac:dyDescent="0.3">
      <c r="A11" s="16" t="s">
        <v>8</v>
      </c>
      <c r="B11" s="17">
        <v>1125353689</v>
      </c>
      <c r="E11" s="16" t="s">
        <v>20</v>
      </c>
      <c r="F11" s="17">
        <v>57116660</v>
      </c>
      <c r="H11" s="16" t="s">
        <v>7</v>
      </c>
      <c r="I11" s="17">
        <v>26555651</v>
      </c>
      <c r="J11" s="17">
        <v>1045825243</v>
      </c>
      <c r="L11" s="17">
        <v>1045825243</v>
      </c>
    </row>
    <row r="12" spans="1:12" x14ac:dyDescent="0.3">
      <c r="A12" s="16" t="s">
        <v>168</v>
      </c>
      <c r="B12" s="17">
        <v>15439038766</v>
      </c>
      <c r="E12" s="16" t="s">
        <v>21</v>
      </c>
      <c r="F12" s="17">
        <v>59225328</v>
      </c>
      <c r="H12" s="16" t="s">
        <v>168</v>
      </c>
      <c r="I12" s="17">
        <v>305153012</v>
      </c>
      <c r="J12" s="17">
        <v>12369364052</v>
      </c>
      <c r="L12" s="17">
        <v>930154750</v>
      </c>
    </row>
    <row r="13" spans="1:12" x14ac:dyDescent="0.3">
      <c r="E13" s="16" t="s">
        <v>22</v>
      </c>
      <c r="F13" s="17">
        <v>60699859</v>
      </c>
      <c r="L13" s="17">
        <v>903269218</v>
      </c>
    </row>
    <row r="14" spans="1:12" x14ac:dyDescent="0.3">
      <c r="E14" s="16" t="s">
        <v>23</v>
      </c>
      <c r="F14" s="17">
        <v>62494940</v>
      </c>
    </row>
    <row r="15" spans="1:12" x14ac:dyDescent="0.3">
      <c r="E15" s="16" t="s">
        <v>24</v>
      </c>
      <c r="F15" s="17">
        <v>63675178</v>
      </c>
      <c r="H15" s="15" t="s">
        <v>1</v>
      </c>
      <c r="I15" t="s">
        <v>172</v>
      </c>
    </row>
    <row r="16" spans="1:12" x14ac:dyDescent="0.3">
      <c r="E16" s="16" t="s">
        <v>25</v>
      </c>
      <c r="F16" s="17">
        <v>65178461</v>
      </c>
      <c r="H16" s="16" t="s">
        <v>13</v>
      </c>
      <c r="I16" s="17">
        <v>2784296132</v>
      </c>
    </row>
    <row r="17" spans="5:9" x14ac:dyDescent="0.3">
      <c r="E17" s="16" t="s">
        <v>26</v>
      </c>
      <c r="F17" s="17">
        <v>66594192</v>
      </c>
      <c r="H17" s="16" t="s">
        <v>6</v>
      </c>
      <c r="I17" s="17">
        <v>2662107331</v>
      </c>
    </row>
    <row r="18" spans="5:9" x14ac:dyDescent="0.3">
      <c r="E18" s="16" t="s">
        <v>27</v>
      </c>
      <c r="F18" s="17">
        <v>68163568</v>
      </c>
      <c r="H18" s="16" t="s">
        <v>11</v>
      </c>
      <c r="I18" s="17">
        <v>2605306065</v>
      </c>
    </row>
    <row r="19" spans="5:9" x14ac:dyDescent="0.3">
      <c r="E19" s="16" t="s">
        <v>28</v>
      </c>
      <c r="F19" s="17">
        <v>69442166</v>
      </c>
      <c r="H19" s="16" t="s">
        <v>12</v>
      </c>
      <c r="I19" s="17">
        <v>2337663194</v>
      </c>
    </row>
    <row r="20" spans="5:9" x14ac:dyDescent="0.3">
      <c r="E20" s="16" t="s">
        <v>29</v>
      </c>
      <c r="F20" s="17">
        <v>71065225</v>
      </c>
      <c r="H20" s="16" t="s">
        <v>10</v>
      </c>
      <c r="I20" s="17">
        <v>1465387411</v>
      </c>
    </row>
    <row r="21" spans="5:9" x14ac:dyDescent="0.3">
      <c r="E21" s="16" t="s">
        <v>30</v>
      </c>
      <c r="F21" s="17">
        <v>73056593</v>
      </c>
      <c r="H21" s="16" t="s">
        <v>168</v>
      </c>
      <c r="I21" s="17">
        <v>11854760133</v>
      </c>
    </row>
    <row r="22" spans="5:9" x14ac:dyDescent="0.3">
      <c r="E22" s="16" t="s">
        <v>31</v>
      </c>
      <c r="F22" s="17">
        <v>86756458</v>
      </c>
    </row>
    <row r="23" spans="5:9" x14ac:dyDescent="0.3">
      <c r="E23" s="16" t="s">
        <v>32</v>
      </c>
      <c r="F23" s="17">
        <v>126310784</v>
      </c>
    </row>
    <row r="24" spans="5:9" x14ac:dyDescent="0.3">
      <c r="E24" s="16" t="s">
        <v>33</v>
      </c>
      <c r="F24" s="17">
        <v>128062550</v>
      </c>
    </row>
    <row r="25" spans="5:9" x14ac:dyDescent="0.3">
      <c r="E25" s="16" t="s">
        <v>34</v>
      </c>
      <c r="F25" s="17">
        <v>129558773</v>
      </c>
    </row>
    <row r="26" spans="5:9" x14ac:dyDescent="0.3">
      <c r="E26" s="16" t="s">
        <v>35</v>
      </c>
      <c r="F26" s="17">
        <v>130933080</v>
      </c>
    </row>
    <row r="27" spans="5:9" x14ac:dyDescent="0.3">
      <c r="E27" s="16" t="s">
        <v>36</v>
      </c>
      <c r="F27" s="17">
        <v>132152055</v>
      </c>
    </row>
    <row r="28" spans="5:9" x14ac:dyDescent="0.3">
      <c r="E28" s="16" t="s">
        <v>37</v>
      </c>
      <c r="F28" s="17">
        <v>133588230</v>
      </c>
    </row>
    <row r="29" spans="5:9" x14ac:dyDescent="0.3">
      <c r="E29" s="16" t="s">
        <v>38</v>
      </c>
      <c r="F29" s="17">
        <v>134983762</v>
      </c>
    </row>
    <row r="30" spans="5:9" x14ac:dyDescent="0.3">
      <c r="E30" s="16" t="s">
        <v>39</v>
      </c>
      <c r="F30" s="17">
        <v>136477808</v>
      </c>
    </row>
    <row r="31" spans="5:9" x14ac:dyDescent="0.3">
      <c r="E31" s="16" t="s">
        <v>40</v>
      </c>
      <c r="F31" s="17">
        <v>137692529</v>
      </c>
    </row>
    <row r="32" spans="5:9" x14ac:dyDescent="0.3">
      <c r="E32" s="16" t="s">
        <v>41</v>
      </c>
      <c r="F32" s="17">
        <v>139490315</v>
      </c>
    </row>
    <row r="33" spans="5:6" x14ac:dyDescent="0.3">
      <c r="E33" s="16" t="s">
        <v>42</v>
      </c>
      <c r="F33" s="17">
        <v>141085138</v>
      </c>
    </row>
    <row r="34" spans="5:6" x14ac:dyDescent="0.3">
      <c r="E34" s="16" t="s">
        <v>43</v>
      </c>
      <c r="F34" s="17">
        <v>142767495</v>
      </c>
    </row>
    <row r="35" spans="5:6" x14ac:dyDescent="0.3">
      <c r="E35" s="16" t="s">
        <v>44</v>
      </c>
      <c r="F35" s="17">
        <v>144341242</v>
      </c>
    </row>
    <row r="36" spans="5:6" x14ac:dyDescent="0.3">
      <c r="E36" s="16" t="s">
        <v>45</v>
      </c>
      <c r="F36" s="17">
        <v>145523643</v>
      </c>
    </row>
    <row r="37" spans="5:6" x14ac:dyDescent="0.3">
      <c r="E37" s="16" t="s">
        <v>46</v>
      </c>
      <c r="F37" s="17">
        <v>146382993</v>
      </c>
    </row>
    <row r="38" spans="5:6" x14ac:dyDescent="0.3">
      <c r="E38" s="16" t="s">
        <v>47</v>
      </c>
      <c r="F38" s="17">
        <v>147904705</v>
      </c>
    </row>
    <row r="39" spans="5:6" x14ac:dyDescent="0.3">
      <c r="E39" s="16" t="s">
        <v>48</v>
      </c>
      <c r="F39" s="17">
        <v>149387575</v>
      </c>
    </row>
    <row r="40" spans="5:6" x14ac:dyDescent="0.3">
      <c r="E40" s="16" t="s">
        <v>49</v>
      </c>
      <c r="F40" s="17">
        <v>151130279</v>
      </c>
    </row>
    <row r="41" spans="5:6" x14ac:dyDescent="0.3">
      <c r="E41" s="16" t="s">
        <v>50</v>
      </c>
      <c r="F41" s="17">
        <v>130821880</v>
      </c>
    </row>
    <row r="42" spans="5:6" x14ac:dyDescent="0.3">
      <c r="E42" s="16" t="s">
        <v>51</v>
      </c>
      <c r="F42" s="17">
        <v>110424840</v>
      </c>
    </row>
    <row r="43" spans="5:6" x14ac:dyDescent="0.3">
      <c r="E43" s="16" t="s">
        <v>52</v>
      </c>
      <c r="F43" s="17">
        <v>112170577</v>
      </c>
    </row>
    <row r="44" spans="5:6" x14ac:dyDescent="0.3">
      <c r="E44" s="16" t="s">
        <v>53</v>
      </c>
      <c r="F44" s="17">
        <v>114106469</v>
      </c>
    </row>
    <row r="45" spans="5:6" x14ac:dyDescent="0.3">
      <c r="E45" s="16" t="s">
        <v>54</v>
      </c>
      <c r="F45" s="17">
        <v>115716154</v>
      </c>
    </row>
    <row r="46" spans="5:6" x14ac:dyDescent="0.3">
      <c r="E46" s="16" t="s">
        <v>55</v>
      </c>
      <c r="F46" s="17">
        <v>117895120</v>
      </c>
    </row>
    <row r="47" spans="5:6" x14ac:dyDescent="0.3">
      <c r="E47" s="16" t="s">
        <v>56</v>
      </c>
      <c r="F47" s="17">
        <v>119448337</v>
      </c>
    </row>
    <row r="48" spans="5:6" x14ac:dyDescent="0.3">
      <c r="E48" s="16" t="s">
        <v>57</v>
      </c>
      <c r="F48" s="17">
        <v>121161679</v>
      </c>
    </row>
    <row r="49" spans="5:6" x14ac:dyDescent="0.3">
      <c r="E49" s="16" t="s">
        <v>58</v>
      </c>
      <c r="F49" s="17">
        <v>123075286</v>
      </c>
    </row>
    <row r="50" spans="5:6" x14ac:dyDescent="0.3">
      <c r="E50" s="16" t="s">
        <v>59</v>
      </c>
      <c r="F50" s="17">
        <v>124741458</v>
      </c>
    </row>
    <row r="51" spans="5:6" x14ac:dyDescent="0.3">
      <c r="E51" s="16" t="s">
        <v>60</v>
      </c>
      <c r="F51" s="17">
        <v>126199659</v>
      </c>
    </row>
    <row r="52" spans="5:6" x14ac:dyDescent="0.3">
      <c r="E52" s="16" t="s">
        <v>61</v>
      </c>
      <c r="F52" s="17">
        <v>127396557</v>
      </c>
    </row>
    <row r="53" spans="5:6" x14ac:dyDescent="0.3">
      <c r="E53" s="16" t="s">
        <v>62</v>
      </c>
      <c r="F53" s="17">
        <v>129060259</v>
      </c>
    </row>
    <row r="54" spans="5:6" x14ac:dyDescent="0.3">
      <c r="E54" s="16" t="s">
        <v>63</v>
      </c>
      <c r="F54" s="17">
        <v>130820324</v>
      </c>
    </row>
    <row r="55" spans="5:6" x14ac:dyDescent="0.3">
      <c r="E55" s="16" t="s">
        <v>64</v>
      </c>
      <c r="F55" s="17">
        <v>132206524</v>
      </c>
    </row>
    <row r="56" spans="5:6" x14ac:dyDescent="0.3">
      <c r="E56" s="16" t="s">
        <v>65</v>
      </c>
      <c r="F56" s="17">
        <v>133858464</v>
      </c>
    </row>
    <row r="57" spans="5:6" x14ac:dyDescent="0.3">
      <c r="E57" s="16" t="s">
        <v>66</v>
      </c>
      <c r="F57" s="17">
        <v>135315170</v>
      </c>
    </row>
    <row r="58" spans="5:6" x14ac:dyDescent="0.3">
      <c r="E58" s="16" t="s">
        <v>67</v>
      </c>
      <c r="F58" s="17">
        <v>136602384</v>
      </c>
    </row>
    <row r="59" spans="5:6" x14ac:dyDescent="0.3">
      <c r="E59" s="16" t="s">
        <v>68</v>
      </c>
      <c r="F59" s="17">
        <v>138079373</v>
      </c>
    </row>
    <row r="60" spans="5:6" x14ac:dyDescent="0.3">
      <c r="E60" s="16" t="s">
        <v>69</v>
      </c>
      <c r="F60" s="17">
        <v>131041268</v>
      </c>
    </row>
    <row r="61" spans="5:6" x14ac:dyDescent="0.3">
      <c r="E61" s="16" t="s">
        <v>70</v>
      </c>
      <c r="F61" s="17">
        <v>129808743</v>
      </c>
    </row>
    <row r="62" spans="5:6" x14ac:dyDescent="0.3">
      <c r="E62" s="16" t="s">
        <v>71</v>
      </c>
      <c r="F62" s="17">
        <v>131270822</v>
      </c>
    </row>
    <row r="63" spans="5:6" x14ac:dyDescent="0.3">
      <c r="E63" s="16" t="s">
        <v>72</v>
      </c>
      <c r="F63" s="17">
        <v>132540650</v>
      </c>
    </row>
    <row r="64" spans="5:6" x14ac:dyDescent="0.3">
      <c r="E64" s="16" t="s">
        <v>73</v>
      </c>
      <c r="F64" s="17">
        <v>134357841</v>
      </c>
    </row>
    <row r="65" spans="5:6" x14ac:dyDescent="0.3">
      <c r="E65" s="16" t="s">
        <v>74</v>
      </c>
      <c r="F65" s="17">
        <v>135775848</v>
      </c>
    </row>
    <row r="66" spans="5:6" x14ac:dyDescent="0.3">
      <c r="E66" s="16" t="s">
        <v>75</v>
      </c>
      <c r="F66" s="17">
        <v>136783243</v>
      </c>
    </row>
    <row r="67" spans="5:6" x14ac:dyDescent="0.3">
      <c r="E67" s="16" t="s">
        <v>76</v>
      </c>
      <c r="F67" s="17">
        <v>138318013</v>
      </c>
    </row>
    <row r="68" spans="5:6" x14ac:dyDescent="0.3">
      <c r="E68" s="16" t="s">
        <v>77</v>
      </c>
      <c r="F68" s="17">
        <v>140004342</v>
      </c>
    </row>
    <row r="69" spans="5:6" x14ac:dyDescent="0.3">
      <c r="E69" s="16" t="s">
        <v>78</v>
      </c>
      <c r="F69" s="17">
        <v>141487621</v>
      </c>
    </row>
    <row r="70" spans="5:6" x14ac:dyDescent="0.3">
      <c r="E70" s="16" t="s">
        <v>79</v>
      </c>
      <c r="F70" s="17">
        <v>143621553</v>
      </c>
    </row>
    <row r="71" spans="5:6" x14ac:dyDescent="0.3">
      <c r="E71" s="16" t="s">
        <v>80</v>
      </c>
      <c r="F71" s="17">
        <v>145239878</v>
      </c>
    </row>
    <row r="72" spans="5:6" x14ac:dyDescent="0.3">
      <c r="E72" s="16" t="s">
        <v>81</v>
      </c>
      <c r="F72" s="17">
        <v>146516802</v>
      </c>
    </row>
    <row r="73" spans="5:6" x14ac:dyDescent="0.3">
      <c r="E73" s="16" t="s">
        <v>82</v>
      </c>
      <c r="F73" s="17">
        <v>147924636</v>
      </c>
    </row>
    <row r="74" spans="5:6" x14ac:dyDescent="0.3">
      <c r="E74" s="16" t="s">
        <v>83</v>
      </c>
      <c r="F74" s="17">
        <v>149180788</v>
      </c>
    </row>
    <row r="75" spans="5:6" x14ac:dyDescent="0.3">
      <c r="E75" s="16" t="s">
        <v>84</v>
      </c>
      <c r="F75" s="17">
        <v>150611016</v>
      </c>
    </row>
    <row r="76" spans="5:6" x14ac:dyDescent="0.3">
      <c r="E76" s="16" t="s">
        <v>85</v>
      </c>
      <c r="F76" s="17">
        <v>152271407</v>
      </c>
    </row>
    <row r="77" spans="5:6" x14ac:dyDescent="0.3">
      <c r="E77" s="16" t="s">
        <v>86</v>
      </c>
      <c r="F77" s="17">
        <v>154156555</v>
      </c>
    </row>
    <row r="78" spans="5:6" x14ac:dyDescent="0.3">
      <c r="E78" s="16" t="s">
        <v>87</v>
      </c>
      <c r="F78" s="17">
        <v>156026144</v>
      </c>
    </row>
    <row r="79" spans="5:6" x14ac:dyDescent="0.3">
      <c r="E79" s="16" t="s">
        <v>88</v>
      </c>
      <c r="F79" s="17">
        <v>132659647</v>
      </c>
    </row>
    <row r="80" spans="5:6" x14ac:dyDescent="0.3">
      <c r="E80" s="16" t="s">
        <v>89</v>
      </c>
      <c r="F80" s="17">
        <v>134560875</v>
      </c>
    </row>
    <row r="81" spans="5:6" x14ac:dyDescent="0.3">
      <c r="E81" s="16" t="s">
        <v>90</v>
      </c>
      <c r="F81" s="17">
        <v>136206483</v>
      </c>
    </row>
    <row r="82" spans="5:6" x14ac:dyDescent="0.3">
      <c r="E82" s="16" t="s">
        <v>91</v>
      </c>
      <c r="F82" s="17">
        <v>138200146</v>
      </c>
    </row>
    <row r="83" spans="5:6" x14ac:dyDescent="0.3">
      <c r="E83" s="16" t="s">
        <v>92</v>
      </c>
      <c r="F83" s="17">
        <v>140096164</v>
      </c>
    </row>
    <row r="84" spans="5:6" x14ac:dyDescent="0.3">
      <c r="E84" s="16" t="s">
        <v>93</v>
      </c>
      <c r="F84" s="17">
        <v>141484556</v>
      </c>
    </row>
    <row r="85" spans="5:6" x14ac:dyDescent="0.3">
      <c r="E85" s="16" t="s">
        <v>94</v>
      </c>
      <c r="F85" s="17">
        <v>143242591</v>
      </c>
    </row>
    <row r="86" spans="5:6" x14ac:dyDescent="0.3">
      <c r="E86" s="16" t="s">
        <v>95</v>
      </c>
      <c r="F86" s="17">
        <v>145212394</v>
      </c>
    </row>
    <row r="87" spans="5:6" x14ac:dyDescent="0.3">
      <c r="E87" s="16" t="s">
        <v>96</v>
      </c>
      <c r="F87" s="17">
        <v>146806371</v>
      </c>
    </row>
    <row r="88" spans="5:6" x14ac:dyDescent="0.3">
      <c r="E88" s="16" t="s">
        <v>97</v>
      </c>
      <c r="F88" s="17">
        <v>148760563</v>
      </c>
    </row>
    <row r="89" spans="5:6" x14ac:dyDescent="0.3">
      <c r="E89" s="16" t="s">
        <v>98</v>
      </c>
      <c r="F89" s="17">
        <v>150864817</v>
      </c>
    </row>
    <row r="90" spans="5:6" x14ac:dyDescent="0.3">
      <c r="E90" s="16" t="s">
        <v>99</v>
      </c>
      <c r="F90" s="17">
        <v>152271891</v>
      </c>
    </row>
    <row r="91" spans="5:6" x14ac:dyDescent="0.3">
      <c r="E91" s="16" t="s">
        <v>100</v>
      </c>
      <c r="F91" s="17">
        <v>154040316</v>
      </c>
    </row>
    <row r="92" spans="5:6" x14ac:dyDescent="0.3">
      <c r="E92" s="16" t="s">
        <v>101</v>
      </c>
      <c r="F92" s="17">
        <v>155684224</v>
      </c>
    </row>
    <row r="93" spans="5:6" x14ac:dyDescent="0.3">
      <c r="E93" s="16" t="s">
        <v>102</v>
      </c>
      <c r="F93" s="17">
        <v>157489206</v>
      </c>
    </row>
    <row r="94" spans="5:6" x14ac:dyDescent="0.3">
      <c r="E94" s="16" t="s">
        <v>103</v>
      </c>
      <c r="F94" s="17">
        <v>159388046</v>
      </c>
    </row>
    <row r="95" spans="5:6" x14ac:dyDescent="0.3">
      <c r="E95" s="16" t="s">
        <v>104</v>
      </c>
      <c r="F95" s="17">
        <v>160910766</v>
      </c>
    </row>
    <row r="96" spans="5:6" x14ac:dyDescent="0.3">
      <c r="E96" s="16" t="s">
        <v>105</v>
      </c>
      <c r="F96" s="17">
        <v>162921396</v>
      </c>
    </row>
    <row r="97" spans="5:6" x14ac:dyDescent="0.3">
      <c r="E97" s="16" t="s">
        <v>106</v>
      </c>
      <c r="F97" s="17">
        <v>138997728</v>
      </c>
    </row>
    <row r="98" spans="5:6" x14ac:dyDescent="0.3">
      <c r="E98" s="16" t="s">
        <v>107</v>
      </c>
      <c r="F98" s="17">
        <v>63199409</v>
      </c>
    </row>
    <row r="99" spans="5:6" x14ac:dyDescent="0.3">
      <c r="E99" s="16" t="s">
        <v>108</v>
      </c>
      <c r="F99" s="17">
        <v>65000068</v>
      </c>
    </row>
    <row r="100" spans="5:6" x14ac:dyDescent="0.3">
      <c r="E100" s="16" t="s">
        <v>109</v>
      </c>
      <c r="F100" s="17">
        <v>66660373</v>
      </c>
    </row>
    <row r="101" spans="5:6" x14ac:dyDescent="0.3">
      <c r="E101" s="16" t="s">
        <v>110</v>
      </c>
      <c r="F101" s="17">
        <v>68554518</v>
      </c>
    </row>
    <row r="102" spans="5:6" x14ac:dyDescent="0.3">
      <c r="E102" s="16" t="s">
        <v>111</v>
      </c>
      <c r="F102" s="17">
        <v>70260461</v>
      </c>
    </row>
    <row r="103" spans="5:6" x14ac:dyDescent="0.3">
      <c r="E103" s="16" t="s">
        <v>112</v>
      </c>
      <c r="F103" s="17">
        <v>72091745</v>
      </c>
    </row>
    <row r="104" spans="5:6" x14ac:dyDescent="0.3">
      <c r="E104" s="16" t="s">
        <v>113</v>
      </c>
      <c r="F104" s="17">
        <v>73706084</v>
      </c>
    </row>
    <row r="105" spans="5:6" x14ac:dyDescent="0.3">
      <c r="E105" s="16" t="s">
        <v>114</v>
      </c>
      <c r="F105" s="17">
        <v>75332134</v>
      </c>
    </row>
    <row r="106" spans="5:6" x14ac:dyDescent="0.3">
      <c r="E106" s="16" t="s">
        <v>115</v>
      </c>
      <c r="F106" s="17">
        <v>77064696</v>
      </c>
    </row>
    <row r="107" spans="5:6" x14ac:dyDescent="0.3">
      <c r="E107" s="16" t="s">
        <v>116</v>
      </c>
      <c r="F107" s="17">
        <v>78977484</v>
      </c>
    </row>
    <row r="108" spans="5:6" x14ac:dyDescent="0.3">
      <c r="E108" s="16" t="s">
        <v>117</v>
      </c>
      <c r="F108" s="17">
        <v>81122624</v>
      </c>
    </row>
    <row r="109" spans="5:6" x14ac:dyDescent="0.3">
      <c r="E109" s="16" t="s">
        <v>118</v>
      </c>
      <c r="F109" s="17">
        <v>82575873</v>
      </c>
    </row>
    <row r="110" spans="5:6" x14ac:dyDescent="0.3">
      <c r="E110" s="16" t="s">
        <v>119</v>
      </c>
      <c r="F110" s="17">
        <v>83762320</v>
      </c>
    </row>
    <row r="111" spans="5:6" x14ac:dyDescent="0.3">
      <c r="E111" s="16" t="s">
        <v>120</v>
      </c>
      <c r="F111" s="17">
        <v>85717234</v>
      </c>
    </row>
    <row r="112" spans="5:6" x14ac:dyDescent="0.3">
      <c r="E112" s="16" t="s">
        <v>121</v>
      </c>
      <c r="F112" s="17">
        <v>87100665</v>
      </c>
    </row>
    <row r="113" spans="5:6" x14ac:dyDescent="0.3">
      <c r="E113" s="16" t="s">
        <v>122</v>
      </c>
      <c r="F113" s="17">
        <v>88722103</v>
      </c>
    </row>
    <row r="114" spans="5:6" x14ac:dyDescent="0.3">
      <c r="E114" s="16" t="s">
        <v>123</v>
      </c>
      <c r="F114" s="17">
        <v>90679780</v>
      </c>
    </row>
    <row r="115" spans="5:6" x14ac:dyDescent="0.3">
      <c r="E115" s="16" t="s">
        <v>124</v>
      </c>
      <c r="F115" s="17">
        <v>92467373</v>
      </c>
    </row>
    <row r="116" spans="5:6" x14ac:dyDescent="0.3">
      <c r="E116" s="16" t="s">
        <v>125</v>
      </c>
      <c r="F116" s="17">
        <v>70296876</v>
      </c>
    </row>
    <row r="117" spans="5:6" x14ac:dyDescent="0.3">
      <c r="E117" s="16" t="s">
        <v>126</v>
      </c>
      <c r="F117" s="17">
        <v>48221136</v>
      </c>
    </row>
    <row r="118" spans="5:6" x14ac:dyDescent="0.3">
      <c r="E118" s="16" t="s">
        <v>127</v>
      </c>
      <c r="F118" s="17">
        <v>50268015</v>
      </c>
    </row>
    <row r="119" spans="5:6" x14ac:dyDescent="0.3">
      <c r="E119" s="16" t="s">
        <v>128</v>
      </c>
      <c r="F119" s="17">
        <v>52060538</v>
      </c>
    </row>
    <row r="120" spans="5:6" x14ac:dyDescent="0.3">
      <c r="E120" s="16" t="s">
        <v>129</v>
      </c>
      <c r="F120" s="17">
        <v>54053900</v>
      </c>
    </row>
    <row r="121" spans="5:6" x14ac:dyDescent="0.3">
      <c r="E121" s="16" t="s">
        <v>130</v>
      </c>
      <c r="F121" s="17">
        <v>55549203</v>
      </c>
    </row>
    <row r="122" spans="5:6" x14ac:dyDescent="0.3">
      <c r="E122" s="16" t="s">
        <v>131</v>
      </c>
      <c r="F122" s="17">
        <v>56767150</v>
      </c>
    </row>
    <row r="123" spans="5:6" x14ac:dyDescent="0.3">
      <c r="E123" s="16" t="s">
        <v>132</v>
      </c>
      <c r="F123" s="17">
        <v>58670743</v>
      </c>
    </row>
    <row r="124" spans="5:6" x14ac:dyDescent="0.3">
      <c r="E124" s="16" t="s">
        <v>133</v>
      </c>
      <c r="F124" s="17">
        <v>60405357</v>
      </c>
    </row>
    <row r="125" spans="5:6" x14ac:dyDescent="0.3">
      <c r="E125" s="16" t="s">
        <v>134</v>
      </c>
      <c r="F125" s="17">
        <v>61962968</v>
      </c>
    </row>
    <row r="126" spans="5:6" x14ac:dyDescent="0.3">
      <c r="E126" s="16" t="s">
        <v>135</v>
      </c>
      <c r="F126" s="17">
        <v>63239338</v>
      </c>
    </row>
    <row r="127" spans="5:6" x14ac:dyDescent="0.3">
      <c r="E127" s="16" t="s">
        <v>136</v>
      </c>
      <c r="F127" s="17">
        <v>64525883</v>
      </c>
    </row>
    <row r="128" spans="5:6" x14ac:dyDescent="0.3">
      <c r="E128" s="16" t="s">
        <v>137</v>
      </c>
      <c r="F128" s="17">
        <v>65528715</v>
      </c>
    </row>
    <row r="129" spans="5:6" x14ac:dyDescent="0.3">
      <c r="E129" s="16" t="s">
        <v>138</v>
      </c>
      <c r="F129" s="17">
        <v>66628738</v>
      </c>
    </row>
    <row r="130" spans="5:6" x14ac:dyDescent="0.3">
      <c r="E130" s="16" t="s">
        <v>139</v>
      </c>
      <c r="F130" s="17">
        <v>68065495</v>
      </c>
    </row>
    <row r="131" spans="5:6" x14ac:dyDescent="0.3">
      <c r="E131" s="16" t="s">
        <v>140</v>
      </c>
      <c r="F131" s="17">
        <v>69781980</v>
      </c>
    </row>
    <row r="132" spans="5:6" x14ac:dyDescent="0.3">
      <c r="E132" s="16" t="s">
        <v>141</v>
      </c>
      <c r="F132" s="17">
        <v>71644519</v>
      </c>
    </row>
    <row r="133" spans="5:6" x14ac:dyDescent="0.3">
      <c r="E133" s="16" t="s">
        <v>142</v>
      </c>
      <c r="F133" s="17">
        <v>73279363</v>
      </c>
    </row>
    <row r="134" spans="5:6" x14ac:dyDescent="0.3">
      <c r="E134" s="16" t="s">
        <v>143</v>
      </c>
      <c r="F134" s="17">
        <v>74745549</v>
      </c>
    </row>
    <row r="135" spans="5:6" x14ac:dyDescent="0.3">
      <c r="E135" s="16" t="s">
        <v>144</v>
      </c>
      <c r="F135" s="17">
        <v>60354849</v>
      </c>
    </row>
    <row r="136" spans="5:6" x14ac:dyDescent="0.3">
      <c r="E136" s="16" t="s">
        <v>145</v>
      </c>
      <c r="F136" s="17">
        <v>56616597</v>
      </c>
    </row>
    <row r="137" spans="5:6" x14ac:dyDescent="0.3">
      <c r="E137" s="16" t="s">
        <v>146</v>
      </c>
      <c r="F137" s="17">
        <v>57919530</v>
      </c>
    </row>
    <row r="138" spans="5:6" x14ac:dyDescent="0.3">
      <c r="E138" s="16" t="s">
        <v>147</v>
      </c>
      <c r="F138" s="17">
        <v>59392601</v>
      </c>
    </row>
    <row r="139" spans="5:6" x14ac:dyDescent="0.3">
      <c r="E139" s="16" t="s">
        <v>148</v>
      </c>
      <c r="F139" s="17">
        <v>60938334</v>
      </c>
    </row>
    <row r="140" spans="5:6" x14ac:dyDescent="0.3">
      <c r="E140" s="16" t="s">
        <v>149</v>
      </c>
      <c r="F140" s="17">
        <v>62936041</v>
      </c>
    </row>
    <row r="141" spans="5:6" x14ac:dyDescent="0.3">
      <c r="E141" s="16" t="s">
        <v>150</v>
      </c>
      <c r="F141" s="17">
        <v>64803311</v>
      </c>
    </row>
    <row r="142" spans="5:6" x14ac:dyDescent="0.3">
      <c r="E142" s="16" t="s">
        <v>151</v>
      </c>
      <c r="F142" s="17">
        <v>66414582</v>
      </c>
    </row>
    <row r="143" spans="5:6" x14ac:dyDescent="0.3">
      <c r="E143" s="16" t="s">
        <v>152</v>
      </c>
      <c r="F143" s="17">
        <v>67708002</v>
      </c>
    </row>
    <row r="144" spans="5:6" x14ac:dyDescent="0.3">
      <c r="E144" s="16" t="s">
        <v>153</v>
      </c>
      <c r="F144" s="17">
        <v>69252593</v>
      </c>
    </row>
    <row r="145" spans="5:6" x14ac:dyDescent="0.3">
      <c r="E145" s="16" t="s">
        <v>154</v>
      </c>
      <c r="F145" s="17">
        <v>71221026</v>
      </c>
    </row>
    <row r="146" spans="5:6" x14ac:dyDescent="0.3">
      <c r="E146" s="16" t="s">
        <v>155</v>
      </c>
      <c r="F146" s="17">
        <v>72894499</v>
      </c>
    </row>
    <row r="147" spans="5:6" x14ac:dyDescent="0.3">
      <c r="E147" s="16" t="s">
        <v>156</v>
      </c>
      <c r="F147" s="17">
        <v>74550689</v>
      </c>
    </row>
    <row r="148" spans="5:6" x14ac:dyDescent="0.3">
      <c r="E148" s="16" t="s">
        <v>157</v>
      </c>
      <c r="F148" s="17">
        <v>76035803</v>
      </c>
    </row>
    <row r="149" spans="5:6" x14ac:dyDescent="0.3">
      <c r="E149" s="16" t="s">
        <v>158</v>
      </c>
      <c r="F149" s="17">
        <v>77123381</v>
      </c>
    </row>
    <row r="150" spans="5:6" x14ac:dyDescent="0.3">
      <c r="E150" s="16" t="s">
        <v>159</v>
      </c>
      <c r="F150" s="17">
        <v>78301778</v>
      </c>
    </row>
    <row r="151" spans="5:6" x14ac:dyDescent="0.3">
      <c r="E151" s="16" t="s">
        <v>160</v>
      </c>
      <c r="F151" s="17">
        <v>79678460</v>
      </c>
    </row>
    <row r="152" spans="5:6" x14ac:dyDescent="0.3">
      <c r="E152" s="16" t="s">
        <v>161</v>
      </c>
      <c r="F152" s="17">
        <v>81224963</v>
      </c>
    </row>
    <row r="153" spans="5:6" x14ac:dyDescent="0.3">
      <c r="E153" s="16" t="s">
        <v>162</v>
      </c>
      <c r="F153" s="17">
        <v>82752858</v>
      </c>
    </row>
    <row r="154" spans="5:6" x14ac:dyDescent="0.3">
      <c r="E154" s="16" t="s">
        <v>168</v>
      </c>
      <c r="F154" s="17">
        <v>15439038766</v>
      </c>
    </row>
  </sheetData>
  <sortState xmlns:xlrd2="http://schemas.microsoft.com/office/spreadsheetml/2017/richdata2" ref="L6:L13">
    <sortCondition descending="1" ref="L6:L1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428E2-2BF9-41E5-83B7-3EE7D5D1F9FE}">
  <dimension ref="A3:B154"/>
  <sheetViews>
    <sheetView workbookViewId="0">
      <selection activeCell="K4" sqref="K4"/>
    </sheetView>
  </sheetViews>
  <sheetFormatPr defaultRowHeight="14.4" x14ac:dyDescent="0.3"/>
  <cols>
    <col min="1" max="1" width="12.5546875" bestFit="1" customWidth="1"/>
    <col min="2" max="2" width="18" bestFit="1" customWidth="1"/>
  </cols>
  <sheetData>
    <row r="3" spans="1:2" x14ac:dyDescent="0.3">
      <c r="A3" s="15" t="s">
        <v>167</v>
      </c>
      <c r="B3" t="s">
        <v>175</v>
      </c>
    </row>
    <row r="4" spans="1:2" x14ac:dyDescent="0.3">
      <c r="A4" s="16" t="s">
        <v>5</v>
      </c>
      <c r="B4" s="3">
        <v>9131656</v>
      </c>
    </row>
    <row r="5" spans="1:2" x14ac:dyDescent="0.3">
      <c r="A5" s="16" t="s">
        <v>14</v>
      </c>
      <c r="B5" s="3">
        <v>8961902</v>
      </c>
    </row>
    <row r="6" spans="1:2" x14ac:dyDescent="0.3">
      <c r="A6" s="16" t="s">
        <v>15</v>
      </c>
      <c r="B6" s="3">
        <v>10128459</v>
      </c>
    </row>
    <row r="7" spans="1:2" x14ac:dyDescent="0.3">
      <c r="A7" s="16" t="s">
        <v>16</v>
      </c>
      <c r="B7" s="3">
        <v>8167572</v>
      </c>
    </row>
    <row r="8" spans="1:2" x14ac:dyDescent="0.3">
      <c r="A8" s="16" t="s">
        <v>17</v>
      </c>
      <c r="B8" s="3">
        <v>10750412</v>
      </c>
    </row>
    <row r="9" spans="1:2" x14ac:dyDescent="0.3">
      <c r="A9" s="16" t="s">
        <v>18</v>
      </c>
      <c r="B9" s="3">
        <v>8810077</v>
      </c>
    </row>
    <row r="10" spans="1:2" x14ac:dyDescent="0.3">
      <c r="A10" s="16" t="s">
        <v>19</v>
      </c>
      <c r="B10" s="3">
        <v>11035844</v>
      </c>
    </row>
    <row r="11" spans="1:2" x14ac:dyDescent="0.3">
      <c r="A11" s="16" t="s">
        <v>20</v>
      </c>
      <c r="B11" s="3">
        <v>7931372</v>
      </c>
    </row>
    <row r="12" spans="1:2" x14ac:dyDescent="0.3">
      <c r="A12" s="16" t="s">
        <v>21</v>
      </c>
      <c r="B12" s="3">
        <v>10608551</v>
      </c>
    </row>
    <row r="13" spans="1:2" x14ac:dyDescent="0.3">
      <c r="A13" s="16" t="s">
        <v>22</v>
      </c>
      <c r="B13" s="3">
        <v>10757220</v>
      </c>
    </row>
    <row r="14" spans="1:2" x14ac:dyDescent="0.3">
      <c r="A14" s="16" t="s">
        <v>23</v>
      </c>
      <c r="B14" s="3">
        <v>10079705</v>
      </c>
    </row>
    <row r="15" spans="1:2" x14ac:dyDescent="0.3">
      <c r="A15" s="16" t="s">
        <v>24</v>
      </c>
      <c r="B15" s="3">
        <v>11980834</v>
      </c>
    </row>
    <row r="16" spans="1:2" x14ac:dyDescent="0.3">
      <c r="A16" s="16" t="s">
        <v>25</v>
      </c>
      <c r="B16" s="3">
        <v>12059330</v>
      </c>
    </row>
    <row r="17" spans="1:2" x14ac:dyDescent="0.3">
      <c r="A17" s="16" t="s">
        <v>26</v>
      </c>
      <c r="B17" s="3">
        <v>9960674</v>
      </c>
    </row>
    <row r="18" spans="1:2" x14ac:dyDescent="0.3">
      <c r="A18" s="16" t="s">
        <v>27</v>
      </c>
      <c r="B18" s="3">
        <v>11689827</v>
      </c>
    </row>
    <row r="19" spans="1:2" x14ac:dyDescent="0.3">
      <c r="A19" s="16" t="s">
        <v>28</v>
      </c>
      <c r="B19" s="3">
        <v>12168990</v>
      </c>
    </row>
    <row r="20" spans="1:2" x14ac:dyDescent="0.3">
      <c r="A20" s="16" t="s">
        <v>29</v>
      </c>
      <c r="B20" s="3">
        <v>11681430</v>
      </c>
    </row>
    <row r="21" spans="1:2" x14ac:dyDescent="0.3">
      <c r="A21" s="16" t="s">
        <v>30</v>
      </c>
      <c r="B21" s="3">
        <v>13812825</v>
      </c>
    </row>
    <row r="22" spans="1:2" x14ac:dyDescent="0.3">
      <c r="A22" s="16" t="s">
        <v>31</v>
      </c>
      <c r="B22" s="3">
        <v>16637265</v>
      </c>
    </row>
    <row r="23" spans="1:2" x14ac:dyDescent="0.3">
      <c r="A23" s="16" t="s">
        <v>32</v>
      </c>
      <c r="B23" s="3">
        <v>24745332</v>
      </c>
    </row>
    <row r="24" spans="1:2" x14ac:dyDescent="0.3">
      <c r="A24" s="16" t="s">
        <v>33</v>
      </c>
      <c r="B24" s="3">
        <v>25924698</v>
      </c>
    </row>
    <row r="25" spans="1:2" x14ac:dyDescent="0.3">
      <c r="A25" s="16" t="s">
        <v>34</v>
      </c>
      <c r="B25" s="3">
        <v>20936939</v>
      </c>
    </row>
    <row r="26" spans="1:2" x14ac:dyDescent="0.3">
      <c r="A26" s="16" t="s">
        <v>35</v>
      </c>
      <c r="B26" s="3">
        <v>27719400</v>
      </c>
    </row>
    <row r="27" spans="1:2" x14ac:dyDescent="0.3">
      <c r="A27" s="16" t="s">
        <v>36</v>
      </c>
      <c r="B27" s="3">
        <v>21614108</v>
      </c>
    </row>
    <row r="28" spans="1:2" x14ac:dyDescent="0.3">
      <c r="A28" s="16" t="s">
        <v>37</v>
      </c>
      <c r="B28" s="3">
        <v>23514919</v>
      </c>
    </row>
    <row r="29" spans="1:2" x14ac:dyDescent="0.3">
      <c r="A29" s="16" t="s">
        <v>38</v>
      </c>
      <c r="B29" s="3">
        <v>20965765</v>
      </c>
    </row>
    <row r="30" spans="1:2" x14ac:dyDescent="0.3">
      <c r="A30" s="16" t="s">
        <v>39</v>
      </c>
      <c r="B30" s="3">
        <v>25353968</v>
      </c>
    </row>
    <row r="31" spans="1:2" x14ac:dyDescent="0.3">
      <c r="A31" s="16" t="s">
        <v>40</v>
      </c>
      <c r="B31" s="3">
        <v>25414866</v>
      </c>
    </row>
    <row r="32" spans="1:2" x14ac:dyDescent="0.3">
      <c r="A32" s="16" t="s">
        <v>41</v>
      </c>
      <c r="B32" s="3">
        <v>19769576</v>
      </c>
    </row>
    <row r="33" spans="1:2" x14ac:dyDescent="0.3">
      <c r="A33" s="16" t="s">
        <v>42</v>
      </c>
      <c r="B33" s="3">
        <v>21035254</v>
      </c>
    </row>
    <row r="34" spans="1:2" x14ac:dyDescent="0.3">
      <c r="A34" s="16" t="s">
        <v>43</v>
      </c>
      <c r="B34" s="3">
        <v>22939730</v>
      </c>
    </row>
    <row r="35" spans="1:2" x14ac:dyDescent="0.3">
      <c r="A35" s="16" t="s">
        <v>44</v>
      </c>
      <c r="B35" s="3">
        <v>24961787</v>
      </c>
    </row>
    <row r="36" spans="1:2" x14ac:dyDescent="0.3">
      <c r="A36" s="16" t="s">
        <v>45</v>
      </c>
      <c r="B36" s="3">
        <v>27867556</v>
      </c>
    </row>
    <row r="37" spans="1:2" x14ac:dyDescent="0.3">
      <c r="A37" s="16" t="s">
        <v>46</v>
      </c>
      <c r="B37" s="3">
        <v>27091896</v>
      </c>
    </row>
    <row r="38" spans="1:2" x14ac:dyDescent="0.3">
      <c r="A38" s="16" t="s">
        <v>47</v>
      </c>
      <c r="B38" s="3">
        <v>28350350</v>
      </c>
    </row>
    <row r="39" spans="1:2" x14ac:dyDescent="0.3">
      <c r="A39" s="16" t="s">
        <v>48</v>
      </c>
      <c r="B39" s="3">
        <v>25820216</v>
      </c>
    </row>
    <row r="40" spans="1:2" x14ac:dyDescent="0.3">
      <c r="A40" s="16" t="s">
        <v>49</v>
      </c>
      <c r="B40" s="3">
        <v>21153988</v>
      </c>
    </row>
    <row r="41" spans="1:2" x14ac:dyDescent="0.3">
      <c r="A41" s="16" t="s">
        <v>50</v>
      </c>
      <c r="B41" s="3">
        <v>27964168</v>
      </c>
    </row>
    <row r="42" spans="1:2" x14ac:dyDescent="0.3">
      <c r="A42" s="16" t="s">
        <v>51</v>
      </c>
      <c r="B42" s="3">
        <v>19178177</v>
      </c>
    </row>
    <row r="43" spans="1:2" x14ac:dyDescent="0.3">
      <c r="A43" s="16" t="s">
        <v>52</v>
      </c>
      <c r="B43" s="3">
        <v>17164850</v>
      </c>
    </row>
    <row r="44" spans="1:2" x14ac:dyDescent="0.3">
      <c r="A44" s="16" t="s">
        <v>53</v>
      </c>
      <c r="B44" s="3">
        <v>21035933</v>
      </c>
    </row>
    <row r="45" spans="1:2" x14ac:dyDescent="0.3">
      <c r="A45" s="16" t="s">
        <v>54</v>
      </c>
      <c r="B45" s="3">
        <v>16374767</v>
      </c>
    </row>
    <row r="46" spans="1:2" x14ac:dyDescent="0.3">
      <c r="A46" s="16" t="s">
        <v>55</v>
      </c>
      <c r="B46" s="3">
        <v>20612253</v>
      </c>
    </row>
    <row r="47" spans="1:2" x14ac:dyDescent="0.3">
      <c r="A47" s="16" t="s">
        <v>56</v>
      </c>
      <c r="B47" s="3">
        <v>21899950</v>
      </c>
    </row>
    <row r="48" spans="1:2" x14ac:dyDescent="0.3">
      <c r="A48" s="16" t="s">
        <v>57</v>
      </c>
      <c r="B48" s="3">
        <v>21098758</v>
      </c>
    </row>
    <row r="49" spans="1:2" x14ac:dyDescent="0.3">
      <c r="A49" s="16" t="s">
        <v>58</v>
      </c>
      <c r="B49" s="3">
        <v>24404057</v>
      </c>
    </row>
    <row r="50" spans="1:2" x14ac:dyDescent="0.3">
      <c r="A50" s="16" t="s">
        <v>59</v>
      </c>
      <c r="B50" s="3">
        <v>22384434</v>
      </c>
    </row>
    <row r="51" spans="1:2" x14ac:dyDescent="0.3">
      <c r="A51" s="16" t="s">
        <v>60</v>
      </c>
      <c r="B51" s="3">
        <v>26751447</v>
      </c>
    </row>
    <row r="52" spans="1:2" x14ac:dyDescent="0.3">
      <c r="A52" s="16" t="s">
        <v>61</v>
      </c>
      <c r="B52" s="3">
        <v>19160412</v>
      </c>
    </row>
    <row r="53" spans="1:2" x14ac:dyDescent="0.3">
      <c r="A53" s="16" t="s">
        <v>62</v>
      </c>
      <c r="B53" s="3">
        <v>26681663</v>
      </c>
    </row>
    <row r="54" spans="1:2" x14ac:dyDescent="0.3">
      <c r="A54" s="16" t="s">
        <v>63</v>
      </c>
      <c r="B54" s="3">
        <v>27911226</v>
      </c>
    </row>
    <row r="55" spans="1:2" x14ac:dyDescent="0.3">
      <c r="A55" s="16" t="s">
        <v>64</v>
      </c>
      <c r="B55" s="3">
        <v>25947648</v>
      </c>
    </row>
    <row r="56" spans="1:2" x14ac:dyDescent="0.3">
      <c r="A56" s="16" t="s">
        <v>65</v>
      </c>
      <c r="B56" s="3">
        <v>25261227</v>
      </c>
    </row>
    <row r="57" spans="1:2" x14ac:dyDescent="0.3">
      <c r="A57" s="16" t="s">
        <v>66</v>
      </c>
      <c r="B57" s="3">
        <v>28334280</v>
      </c>
    </row>
    <row r="58" spans="1:2" x14ac:dyDescent="0.3">
      <c r="A58" s="16" t="s">
        <v>67</v>
      </c>
      <c r="B58" s="3">
        <v>21239651</v>
      </c>
    </row>
    <row r="59" spans="1:2" x14ac:dyDescent="0.3">
      <c r="A59" s="16" t="s">
        <v>68</v>
      </c>
      <c r="B59" s="3">
        <v>26957981</v>
      </c>
    </row>
    <row r="60" spans="1:2" x14ac:dyDescent="0.3">
      <c r="A60" s="16" t="s">
        <v>69</v>
      </c>
      <c r="B60" s="3">
        <v>20522630</v>
      </c>
    </row>
    <row r="61" spans="1:2" x14ac:dyDescent="0.3">
      <c r="A61" s="16" t="s">
        <v>70</v>
      </c>
      <c r="B61" s="3">
        <v>21343302</v>
      </c>
    </row>
    <row r="62" spans="1:2" x14ac:dyDescent="0.3">
      <c r="A62" s="16" t="s">
        <v>71</v>
      </c>
      <c r="B62" s="3">
        <v>23807929</v>
      </c>
    </row>
    <row r="63" spans="1:2" x14ac:dyDescent="0.3">
      <c r="A63" s="16" t="s">
        <v>72</v>
      </c>
      <c r="B63" s="3">
        <v>19093806</v>
      </c>
    </row>
    <row r="64" spans="1:2" x14ac:dyDescent="0.3">
      <c r="A64" s="16" t="s">
        <v>73</v>
      </c>
      <c r="B64" s="3">
        <v>21517167</v>
      </c>
    </row>
    <row r="65" spans="1:2" x14ac:dyDescent="0.3">
      <c r="A65" s="16" t="s">
        <v>74</v>
      </c>
      <c r="B65" s="3">
        <v>26218741</v>
      </c>
    </row>
    <row r="66" spans="1:2" x14ac:dyDescent="0.3">
      <c r="A66" s="16" t="s">
        <v>75</v>
      </c>
      <c r="B66" s="3">
        <v>23131025</v>
      </c>
    </row>
    <row r="67" spans="1:2" x14ac:dyDescent="0.3">
      <c r="A67" s="16" t="s">
        <v>76</v>
      </c>
      <c r="B67" s="3">
        <v>24679623</v>
      </c>
    </row>
    <row r="68" spans="1:2" x14ac:dyDescent="0.3">
      <c r="A68" s="16" t="s">
        <v>77</v>
      </c>
      <c r="B68" s="3">
        <v>22207284</v>
      </c>
    </row>
    <row r="69" spans="1:2" x14ac:dyDescent="0.3">
      <c r="A69" s="16" t="s">
        <v>78</v>
      </c>
      <c r="B69" s="3">
        <v>26157187</v>
      </c>
    </row>
    <row r="70" spans="1:2" x14ac:dyDescent="0.3">
      <c r="A70" s="16" t="s">
        <v>79</v>
      </c>
      <c r="B70" s="3">
        <v>25865884</v>
      </c>
    </row>
    <row r="71" spans="1:2" x14ac:dyDescent="0.3">
      <c r="A71" s="16" t="s">
        <v>80</v>
      </c>
      <c r="B71" s="3">
        <v>23638604</v>
      </c>
    </row>
    <row r="72" spans="1:2" x14ac:dyDescent="0.3">
      <c r="A72" s="16" t="s">
        <v>81</v>
      </c>
      <c r="B72" s="3">
        <v>30917912</v>
      </c>
    </row>
    <row r="73" spans="1:2" x14ac:dyDescent="0.3">
      <c r="A73" s="16" t="s">
        <v>82</v>
      </c>
      <c r="B73" s="3">
        <v>29411902</v>
      </c>
    </row>
    <row r="74" spans="1:2" x14ac:dyDescent="0.3">
      <c r="A74" s="16" t="s">
        <v>83</v>
      </c>
      <c r="B74" s="3">
        <v>22425274</v>
      </c>
    </row>
    <row r="75" spans="1:2" x14ac:dyDescent="0.3">
      <c r="A75" s="16" t="s">
        <v>84</v>
      </c>
      <c r="B75" s="3">
        <v>29073245</v>
      </c>
    </row>
    <row r="76" spans="1:2" x14ac:dyDescent="0.3">
      <c r="A76" s="16" t="s">
        <v>85</v>
      </c>
      <c r="B76" s="3">
        <v>26350465</v>
      </c>
    </row>
    <row r="77" spans="1:2" x14ac:dyDescent="0.3">
      <c r="A77" s="16" t="s">
        <v>86</v>
      </c>
      <c r="B77" s="3">
        <v>24838764</v>
      </c>
    </row>
    <row r="78" spans="1:2" x14ac:dyDescent="0.3">
      <c r="A78" s="16" t="s">
        <v>87</v>
      </c>
      <c r="B78" s="3">
        <v>36802030</v>
      </c>
    </row>
    <row r="79" spans="1:2" x14ac:dyDescent="0.3">
      <c r="A79" s="16" t="s">
        <v>88</v>
      </c>
      <c r="B79" s="3">
        <v>26940643</v>
      </c>
    </row>
    <row r="80" spans="1:2" x14ac:dyDescent="0.3">
      <c r="A80" s="16" t="s">
        <v>89</v>
      </c>
      <c r="B80" s="3">
        <v>24448289</v>
      </c>
    </row>
    <row r="81" spans="1:2" x14ac:dyDescent="0.3">
      <c r="A81" s="16" t="s">
        <v>90</v>
      </c>
      <c r="B81" s="3">
        <v>20732422</v>
      </c>
    </row>
    <row r="82" spans="1:2" x14ac:dyDescent="0.3">
      <c r="A82" s="16" t="s">
        <v>91</v>
      </c>
      <c r="B82" s="3">
        <v>21003947</v>
      </c>
    </row>
    <row r="83" spans="1:2" x14ac:dyDescent="0.3">
      <c r="A83" s="16" t="s">
        <v>92</v>
      </c>
      <c r="B83" s="3">
        <v>25958997</v>
      </c>
    </row>
    <row r="84" spans="1:2" x14ac:dyDescent="0.3">
      <c r="A84" s="16" t="s">
        <v>93</v>
      </c>
      <c r="B84" s="3">
        <v>28271986</v>
      </c>
    </row>
    <row r="85" spans="1:2" x14ac:dyDescent="0.3">
      <c r="A85" s="16" t="s">
        <v>94</v>
      </c>
      <c r="B85" s="3">
        <v>26469630</v>
      </c>
    </row>
    <row r="86" spans="1:2" x14ac:dyDescent="0.3">
      <c r="A86" s="16" t="s">
        <v>95</v>
      </c>
      <c r="B86" s="3">
        <v>26396673</v>
      </c>
    </row>
    <row r="87" spans="1:2" x14ac:dyDescent="0.3">
      <c r="A87" s="16" t="s">
        <v>96</v>
      </c>
      <c r="B87" s="3">
        <v>30148686</v>
      </c>
    </row>
    <row r="88" spans="1:2" x14ac:dyDescent="0.3">
      <c r="A88" s="16" t="s">
        <v>97</v>
      </c>
      <c r="B88" s="3">
        <v>25080551</v>
      </c>
    </row>
    <row r="89" spans="1:2" x14ac:dyDescent="0.3">
      <c r="A89" s="16" t="s">
        <v>98</v>
      </c>
      <c r="B89" s="3">
        <v>28760954</v>
      </c>
    </row>
    <row r="90" spans="1:2" x14ac:dyDescent="0.3">
      <c r="A90" s="16" t="s">
        <v>99</v>
      </c>
      <c r="B90" s="3">
        <v>25045426</v>
      </c>
    </row>
    <row r="91" spans="1:2" x14ac:dyDescent="0.3">
      <c r="A91" s="16" t="s">
        <v>100</v>
      </c>
      <c r="B91" s="3">
        <v>30221630</v>
      </c>
    </row>
    <row r="92" spans="1:2" x14ac:dyDescent="0.3">
      <c r="A92" s="16" t="s">
        <v>101</v>
      </c>
      <c r="B92" s="3">
        <v>28198054</v>
      </c>
    </row>
    <row r="93" spans="1:2" x14ac:dyDescent="0.3">
      <c r="A93" s="16" t="s">
        <v>102</v>
      </c>
      <c r="B93" s="3">
        <v>28562653</v>
      </c>
    </row>
    <row r="94" spans="1:2" x14ac:dyDescent="0.3">
      <c r="A94" s="16" t="s">
        <v>103</v>
      </c>
      <c r="B94" s="3">
        <v>34030314</v>
      </c>
    </row>
    <row r="95" spans="1:2" x14ac:dyDescent="0.3">
      <c r="A95" s="16" t="s">
        <v>104</v>
      </c>
      <c r="B95" s="3">
        <v>30162051</v>
      </c>
    </row>
    <row r="96" spans="1:2" x14ac:dyDescent="0.3">
      <c r="A96" s="16" t="s">
        <v>105</v>
      </c>
      <c r="B96" s="3">
        <v>31448613</v>
      </c>
    </row>
    <row r="97" spans="1:2" x14ac:dyDescent="0.3">
      <c r="A97" s="16" t="s">
        <v>106</v>
      </c>
      <c r="B97" s="3">
        <v>26263390</v>
      </c>
    </row>
    <row r="98" spans="1:2" x14ac:dyDescent="0.3">
      <c r="A98" s="16" t="s">
        <v>107</v>
      </c>
      <c r="B98" s="3">
        <v>11375342</v>
      </c>
    </row>
    <row r="99" spans="1:2" x14ac:dyDescent="0.3">
      <c r="A99" s="16" t="s">
        <v>108</v>
      </c>
      <c r="B99" s="3">
        <v>11849045</v>
      </c>
    </row>
    <row r="100" spans="1:2" x14ac:dyDescent="0.3">
      <c r="A100" s="16" t="s">
        <v>109</v>
      </c>
      <c r="B100" s="3">
        <v>13579792</v>
      </c>
    </row>
    <row r="101" spans="1:2" x14ac:dyDescent="0.3">
      <c r="A101" s="16" t="s">
        <v>110</v>
      </c>
      <c r="B101" s="3">
        <v>13029324</v>
      </c>
    </row>
    <row r="102" spans="1:2" x14ac:dyDescent="0.3">
      <c r="A102" s="16" t="s">
        <v>111</v>
      </c>
      <c r="B102" s="3">
        <v>10675155</v>
      </c>
    </row>
    <row r="103" spans="1:2" x14ac:dyDescent="0.3">
      <c r="A103" s="16" t="s">
        <v>112</v>
      </c>
      <c r="B103" s="3">
        <v>12106628</v>
      </c>
    </row>
    <row r="104" spans="1:2" x14ac:dyDescent="0.3">
      <c r="A104" s="16" t="s">
        <v>113</v>
      </c>
      <c r="B104" s="3">
        <v>11446660</v>
      </c>
    </row>
    <row r="105" spans="1:2" x14ac:dyDescent="0.3">
      <c r="A105" s="16" t="s">
        <v>114</v>
      </c>
      <c r="B105" s="3">
        <v>14413288</v>
      </c>
    </row>
    <row r="106" spans="1:2" x14ac:dyDescent="0.3">
      <c r="A106" s="16" t="s">
        <v>115</v>
      </c>
      <c r="B106" s="3">
        <v>11653269</v>
      </c>
    </row>
    <row r="107" spans="1:2" x14ac:dyDescent="0.3">
      <c r="A107" s="16" t="s">
        <v>116</v>
      </c>
      <c r="B107" s="3">
        <v>11995763</v>
      </c>
    </row>
    <row r="108" spans="1:2" x14ac:dyDescent="0.3">
      <c r="A108" s="16" t="s">
        <v>117</v>
      </c>
      <c r="B108" s="3">
        <v>16491650</v>
      </c>
    </row>
    <row r="109" spans="1:2" x14ac:dyDescent="0.3">
      <c r="A109" s="16" t="s">
        <v>118</v>
      </c>
      <c r="B109" s="3">
        <v>10994950</v>
      </c>
    </row>
    <row r="110" spans="1:2" x14ac:dyDescent="0.3">
      <c r="A110" s="16" t="s">
        <v>119</v>
      </c>
      <c r="B110" s="3">
        <v>16481973</v>
      </c>
    </row>
    <row r="111" spans="1:2" x14ac:dyDescent="0.3">
      <c r="A111" s="16" t="s">
        <v>120</v>
      </c>
      <c r="B111" s="3">
        <v>14525008</v>
      </c>
    </row>
    <row r="112" spans="1:2" x14ac:dyDescent="0.3">
      <c r="A112" s="16" t="s">
        <v>121</v>
      </c>
      <c r="B112" s="3">
        <v>17650849</v>
      </c>
    </row>
    <row r="113" spans="1:2" x14ac:dyDescent="0.3">
      <c r="A113" s="16" t="s">
        <v>122</v>
      </c>
      <c r="B113" s="3">
        <v>15048743</v>
      </c>
    </row>
    <row r="114" spans="1:2" x14ac:dyDescent="0.3">
      <c r="A114" s="16" t="s">
        <v>123</v>
      </c>
      <c r="B114" s="3">
        <v>15072897</v>
      </c>
    </row>
    <row r="115" spans="1:2" x14ac:dyDescent="0.3">
      <c r="A115" s="16" t="s">
        <v>124</v>
      </c>
      <c r="B115" s="3">
        <v>13612612</v>
      </c>
    </row>
    <row r="116" spans="1:2" x14ac:dyDescent="0.3">
      <c r="A116" s="16" t="s">
        <v>125</v>
      </c>
      <c r="B116" s="3">
        <v>13933560</v>
      </c>
    </row>
    <row r="117" spans="1:2" x14ac:dyDescent="0.3">
      <c r="A117" s="16" t="s">
        <v>126</v>
      </c>
      <c r="B117" s="3">
        <v>7493963</v>
      </c>
    </row>
    <row r="118" spans="1:2" x14ac:dyDescent="0.3">
      <c r="A118" s="16" t="s">
        <v>127</v>
      </c>
      <c r="B118" s="3">
        <v>8244523</v>
      </c>
    </row>
    <row r="119" spans="1:2" x14ac:dyDescent="0.3">
      <c r="A119" s="16" t="s">
        <v>128</v>
      </c>
      <c r="B119" s="3">
        <v>10808065</v>
      </c>
    </row>
    <row r="120" spans="1:2" x14ac:dyDescent="0.3">
      <c r="A120" s="16" t="s">
        <v>129</v>
      </c>
      <c r="B120" s="3">
        <v>10486547</v>
      </c>
    </row>
    <row r="121" spans="1:2" x14ac:dyDescent="0.3">
      <c r="A121" s="16" t="s">
        <v>130</v>
      </c>
      <c r="B121" s="3">
        <v>8805297</v>
      </c>
    </row>
    <row r="122" spans="1:2" x14ac:dyDescent="0.3">
      <c r="A122" s="16" t="s">
        <v>131</v>
      </c>
      <c r="B122" s="3">
        <v>8965207</v>
      </c>
    </row>
    <row r="123" spans="1:2" x14ac:dyDescent="0.3">
      <c r="A123" s="16" t="s">
        <v>132</v>
      </c>
      <c r="B123" s="3">
        <v>11272200</v>
      </c>
    </row>
    <row r="124" spans="1:2" x14ac:dyDescent="0.3">
      <c r="A124" s="16" t="s">
        <v>133</v>
      </c>
      <c r="B124" s="3">
        <v>10405880</v>
      </c>
    </row>
    <row r="125" spans="1:2" x14ac:dyDescent="0.3">
      <c r="A125" s="16" t="s">
        <v>134</v>
      </c>
      <c r="B125" s="3">
        <v>10758301</v>
      </c>
    </row>
    <row r="126" spans="1:2" x14ac:dyDescent="0.3">
      <c r="A126" s="16" t="s">
        <v>135</v>
      </c>
      <c r="B126" s="3">
        <v>10927605</v>
      </c>
    </row>
    <row r="127" spans="1:2" x14ac:dyDescent="0.3">
      <c r="A127" s="16" t="s">
        <v>136</v>
      </c>
      <c r="B127" s="3">
        <v>13906971</v>
      </c>
    </row>
    <row r="128" spans="1:2" x14ac:dyDescent="0.3">
      <c r="A128" s="16" t="s">
        <v>137</v>
      </c>
      <c r="B128" s="3">
        <v>10104973</v>
      </c>
    </row>
    <row r="129" spans="1:2" x14ac:dyDescent="0.3">
      <c r="A129" s="16" t="s">
        <v>138</v>
      </c>
      <c r="B129" s="3">
        <v>11048007</v>
      </c>
    </row>
    <row r="130" spans="1:2" x14ac:dyDescent="0.3">
      <c r="A130" s="16" t="s">
        <v>139</v>
      </c>
      <c r="B130" s="3">
        <v>11434811</v>
      </c>
    </row>
    <row r="131" spans="1:2" x14ac:dyDescent="0.3">
      <c r="A131" s="16" t="s">
        <v>140</v>
      </c>
      <c r="B131" s="3">
        <v>11776403</v>
      </c>
    </row>
    <row r="132" spans="1:2" x14ac:dyDescent="0.3">
      <c r="A132" s="16" t="s">
        <v>141</v>
      </c>
      <c r="B132" s="3">
        <v>11824860</v>
      </c>
    </row>
    <row r="133" spans="1:2" x14ac:dyDescent="0.3">
      <c r="A133" s="16" t="s">
        <v>142</v>
      </c>
      <c r="B133" s="3">
        <v>15898562</v>
      </c>
    </row>
    <row r="134" spans="1:2" x14ac:dyDescent="0.3">
      <c r="A134" s="16" t="s">
        <v>143</v>
      </c>
      <c r="B134" s="3">
        <v>13609054</v>
      </c>
    </row>
    <row r="135" spans="1:2" x14ac:dyDescent="0.3">
      <c r="A135" s="16" t="s">
        <v>144</v>
      </c>
      <c r="B135" s="3">
        <v>11623395</v>
      </c>
    </row>
    <row r="136" spans="1:2" x14ac:dyDescent="0.3">
      <c r="A136" s="16" t="s">
        <v>145</v>
      </c>
      <c r="B136" s="3">
        <v>10546278</v>
      </c>
    </row>
    <row r="137" spans="1:2" x14ac:dyDescent="0.3">
      <c r="A137" s="16" t="s">
        <v>146</v>
      </c>
      <c r="B137" s="3">
        <v>10790036</v>
      </c>
    </row>
    <row r="138" spans="1:2" x14ac:dyDescent="0.3">
      <c r="A138" s="16" t="s">
        <v>147</v>
      </c>
      <c r="B138" s="3">
        <v>9768170</v>
      </c>
    </row>
    <row r="139" spans="1:2" x14ac:dyDescent="0.3">
      <c r="A139" s="16" t="s">
        <v>148</v>
      </c>
      <c r="B139" s="3">
        <v>10846911</v>
      </c>
    </row>
    <row r="140" spans="1:2" x14ac:dyDescent="0.3">
      <c r="A140" s="16" t="s">
        <v>149</v>
      </c>
      <c r="B140" s="3">
        <v>9516725</v>
      </c>
    </row>
    <row r="141" spans="1:2" x14ac:dyDescent="0.3">
      <c r="A141" s="16" t="s">
        <v>150</v>
      </c>
      <c r="B141" s="3">
        <v>12050137</v>
      </c>
    </row>
    <row r="142" spans="1:2" x14ac:dyDescent="0.3">
      <c r="A142" s="16" t="s">
        <v>151</v>
      </c>
      <c r="B142" s="3">
        <v>11382022</v>
      </c>
    </row>
    <row r="143" spans="1:2" x14ac:dyDescent="0.3">
      <c r="A143" s="16" t="s">
        <v>152</v>
      </c>
      <c r="B143" s="3">
        <v>9532026</v>
      </c>
    </row>
    <row r="144" spans="1:2" x14ac:dyDescent="0.3">
      <c r="A144" s="16" t="s">
        <v>153</v>
      </c>
      <c r="B144" s="3">
        <v>12708693</v>
      </c>
    </row>
    <row r="145" spans="1:2" x14ac:dyDescent="0.3">
      <c r="A145" s="16" t="s">
        <v>154</v>
      </c>
      <c r="B145" s="3">
        <v>12693648</v>
      </c>
    </row>
    <row r="146" spans="1:2" x14ac:dyDescent="0.3">
      <c r="A146" s="16" t="s">
        <v>155</v>
      </c>
      <c r="B146" s="3">
        <v>11257362</v>
      </c>
    </row>
    <row r="147" spans="1:2" x14ac:dyDescent="0.3">
      <c r="A147" s="16" t="s">
        <v>156</v>
      </c>
      <c r="B147" s="3">
        <v>14919320</v>
      </c>
    </row>
    <row r="148" spans="1:2" x14ac:dyDescent="0.3">
      <c r="A148" s="16" t="s">
        <v>157</v>
      </c>
      <c r="B148" s="3">
        <v>13882800</v>
      </c>
    </row>
    <row r="149" spans="1:2" x14ac:dyDescent="0.3">
      <c r="A149" s="16" t="s">
        <v>158</v>
      </c>
      <c r="B149" s="3">
        <v>13708813</v>
      </c>
    </row>
    <row r="150" spans="1:2" x14ac:dyDescent="0.3">
      <c r="A150" s="16" t="s">
        <v>159</v>
      </c>
      <c r="B150" s="3">
        <v>17458018</v>
      </c>
    </row>
    <row r="151" spans="1:2" x14ac:dyDescent="0.3">
      <c r="A151" s="16" t="s">
        <v>160</v>
      </c>
      <c r="B151" s="3">
        <v>11598485</v>
      </c>
    </row>
    <row r="152" spans="1:2" x14ac:dyDescent="0.3">
      <c r="A152" s="16" t="s">
        <v>161</v>
      </c>
      <c r="B152" s="3">
        <v>15644379</v>
      </c>
    </row>
    <row r="153" spans="1:2" x14ac:dyDescent="0.3">
      <c r="A153" s="16" t="s">
        <v>162</v>
      </c>
      <c r="B153" s="3">
        <v>12841889</v>
      </c>
    </row>
    <row r="154" spans="1:2" x14ac:dyDescent="0.3">
      <c r="A154" s="16" t="s">
        <v>168</v>
      </c>
      <c r="B154" s="3">
        <v>2764521702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8894-C6D8-4152-9AD0-1DF3E3BA9DCC}">
  <dimension ref="A1"/>
  <sheetViews>
    <sheetView zoomScale="80" zoomScaleNormal="80" workbookViewId="0">
      <selection activeCell="P26" sqref="P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A05B2-7538-46FC-8E13-272D2C42EC2A}">
  <dimension ref="A4:D35"/>
  <sheetViews>
    <sheetView tabSelected="1" zoomScale="90" zoomScaleNormal="90" workbookViewId="0">
      <selection activeCell="N34" sqref="N34"/>
    </sheetView>
  </sheetViews>
  <sheetFormatPr defaultRowHeight="14.4" x14ac:dyDescent="0.3"/>
  <cols>
    <col min="11" max="11" width="11.44140625" customWidth="1"/>
    <col min="12" max="12" width="13.44140625" customWidth="1"/>
    <col min="13" max="13" width="15.33203125" customWidth="1"/>
  </cols>
  <sheetData>
    <row r="4" spans="1:4" ht="20.399999999999999" x14ac:dyDescent="0.35">
      <c r="A4" s="22" t="s">
        <v>176</v>
      </c>
      <c r="B4" s="22"/>
      <c r="C4" s="22"/>
      <c r="D4" s="22"/>
    </row>
    <row r="5" spans="1:4" ht="18" thickBot="1" x14ac:dyDescent="0.4">
      <c r="A5" s="19" t="s">
        <v>1</v>
      </c>
      <c r="B5" s="19"/>
      <c r="C5" s="19" t="s">
        <v>173</v>
      </c>
      <c r="D5" s="19"/>
    </row>
    <row r="6" spans="1:4" ht="15" thickTop="1" x14ac:dyDescent="0.3">
      <c r="A6" s="20" t="s">
        <v>13</v>
      </c>
      <c r="B6" s="20"/>
      <c r="C6" s="21">
        <v>2784296132</v>
      </c>
      <c r="D6" s="21"/>
    </row>
    <row r="7" spans="1:4" x14ac:dyDescent="0.3">
      <c r="A7" s="20" t="s">
        <v>6</v>
      </c>
      <c r="B7" s="20"/>
      <c r="C7" s="21">
        <v>2662107331</v>
      </c>
      <c r="D7" s="21"/>
    </row>
    <row r="8" spans="1:4" x14ac:dyDescent="0.3">
      <c r="A8" s="20" t="s">
        <v>11</v>
      </c>
      <c r="B8" s="20"/>
      <c r="C8" s="21">
        <v>2605306065</v>
      </c>
      <c r="D8" s="21"/>
    </row>
    <row r="9" spans="1:4" x14ac:dyDescent="0.3">
      <c r="A9" s="20" t="s">
        <v>12</v>
      </c>
      <c r="B9" s="20"/>
      <c r="C9" s="21">
        <v>2337663194</v>
      </c>
      <c r="D9" s="21"/>
    </row>
    <row r="10" spans="1:4" x14ac:dyDescent="0.3">
      <c r="A10" s="20" t="s">
        <v>10</v>
      </c>
      <c r="B10" s="20"/>
      <c r="C10" s="21">
        <v>1465387411</v>
      </c>
      <c r="D10" s="21"/>
    </row>
    <row r="11" spans="1:4" x14ac:dyDescent="0.3">
      <c r="A11" s="20" t="s">
        <v>7</v>
      </c>
      <c r="B11" s="20"/>
      <c r="C11" s="21">
        <v>1301224178</v>
      </c>
      <c r="D11" s="21"/>
    </row>
    <row r="12" spans="1:4" x14ac:dyDescent="0.3">
      <c r="A12" s="20" t="s">
        <v>9</v>
      </c>
      <c r="B12" s="20"/>
      <c r="C12" s="21">
        <v>1157700766</v>
      </c>
      <c r="D12" s="21"/>
    </row>
    <row r="13" spans="1:4" x14ac:dyDescent="0.3">
      <c r="A13" s="20" t="s">
        <v>8</v>
      </c>
      <c r="B13" s="20"/>
      <c r="C13" s="21">
        <v>1125353689</v>
      </c>
      <c r="D13" s="21"/>
    </row>
    <row r="15" spans="1:4" ht="20.399999999999999" x14ac:dyDescent="0.35">
      <c r="A15" s="24" t="s">
        <v>4</v>
      </c>
      <c r="B15" s="24"/>
      <c r="C15" s="24"/>
      <c r="D15" s="24"/>
    </row>
    <row r="16" spans="1:4" ht="18" thickBot="1" x14ac:dyDescent="0.4">
      <c r="A16" s="19" t="s">
        <v>1</v>
      </c>
      <c r="B16" s="19"/>
      <c r="C16" s="19" t="s">
        <v>173</v>
      </c>
      <c r="D16" s="19"/>
    </row>
    <row r="17" spans="1:4" ht="15" thickTop="1" x14ac:dyDescent="0.3">
      <c r="A17" s="20" t="s">
        <v>13</v>
      </c>
      <c r="B17" s="20"/>
      <c r="C17" s="25">
        <v>2216032499</v>
      </c>
      <c r="D17" s="25"/>
    </row>
    <row r="18" spans="1:4" x14ac:dyDescent="0.3">
      <c r="A18" s="20" t="s">
        <v>6</v>
      </c>
      <c r="B18" s="20"/>
      <c r="C18" s="18">
        <v>2135171328</v>
      </c>
      <c r="D18" s="18"/>
    </row>
    <row r="19" spans="1:4" x14ac:dyDescent="0.3">
      <c r="A19" s="20" t="s">
        <v>11</v>
      </c>
      <c r="B19" s="20"/>
      <c r="C19" s="18">
        <v>2093744803</v>
      </c>
      <c r="D19" s="18"/>
    </row>
    <row r="20" spans="1:4" x14ac:dyDescent="0.3">
      <c r="A20" s="20" t="s">
        <v>12</v>
      </c>
      <c r="B20" s="20"/>
      <c r="C20" s="18">
        <v>1863953440</v>
      </c>
      <c r="D20" s="18"/>
    </row>
    <row r="21" spans="1:4" x14ac:dyDescent="0.3">
      <c r="A21" s="20" t="s">
        <v>10</v>
      </c>
      <c r="B21" s="20"/>
      <c r="C21" s="18">
        <v>1181212771</v>
      </c>
      <c r="D21" s="18"/>
    </row>
    <row r="22" spans="1:4" x14ac:dyDescent="0.3">
      <c r="A22" s="20" t="s">
        <v>7</v>
      </c>
      <c r="B22" s="20"/>
      <c r="C22" s="18">
        <v>1045825243</v>
      </c>
      <c r="D22" s="18"/>
    </row>
    <row r="23" spans="1:4" x14ac:dyDescent="0.3">
      <c r="A23" s="20" t="s">
        <v>9</v>
      </c>
      <c r="B23" s="20"/>
      <c r="C23" s="18">
        <v>930154750</v>
      </c>
      <c r="D23" s="18"/>
    </row>
    <row r="24" spans="1:4" x14ac:dyDescent="0.3">
      <c r="A24" s="20" t="s">
        <v>8</v>
      </c>
      <c r="B24" s="20"/>
      <c r="C24" s="18">
        <v>903269218</v>
      </c>
      <c r="D24" s="18"/>
    </row>
    <row r="26" spans="1:4" ht="20.399999999999999" x14ac:dyDescent="0.35">
      <c r="A26" s="24" t="s">
        <v>174</v>
      </c>
      <c r="B26" s="24"/>
      <c r="C26" s="24"/>
      <c r="D26" s="24"/>
    </row>
    <row r="27" spans="1:4" ht="18" thickBot="1" x14ac:dyDescent="0.4">
      <c r="A27" s="19" t="s">
        <v>1</v>
      </c>
      <c r="B27" s="19"/>
      <c r="C27" s="19" t="s">
        <v>173</v>
      </c>
      <c r="D27" s="19"/>
    </row>
    <row r="28" spans="1:4" ht="15" thickTop="1" x14ac:dyDescent="0.3">
      <c r="A28" s="20" t="s">
        <v>6</v>
      </c>
      <c r="B28" s="20"/>
      <c r="C28" s="25">
        <v>53774027</v>
      </c>
      <c r="D28" s="25"/>
    </row>
    <row r="29" spans="1:4" x14ac:dyDescent="0.3">
      <c r="A29" s="20" t="s">
        <v>13</v>
      </c>
      <c r="B29" s="20"/>
      <c r="C29" s="18">
        <v>52690412</v>
      </c>
      <c r="D29" s="18"/>
    </row>
    <row r="30" spans="1:4" x14ac:dyDescent="0.3">
      <c r="A30" s="20" t="s">
        <v>11</v>
      </c>
      <c r="B30" s="20"/>
      <c r="C30" s="18">
        <v>51609873</v>
      </c>
      <c r="D30" s="18"/>
    </row>
    <row r="31" spans="1:4" x14ac:dyDescent="0.3">
      <c r="A31" s="20" t="s">
        <v>12</v>
      </c>
      <c r="B31" s="20"/>
      <c r="C31" s="18">
        <v>47025523</v>
      </c>
      <c r="D31" s="18"/>
    </row>
    <row r="32" spans="1:4" x14ac:dyDescent="0.3">
      <c r="A32" s="20" t="s">
        <v>10</v>
      </c>
      <c r="B32" s="20"/>
      <c r="C32" s="18">
        <v>29206391</v>
      </c>
      <c r="D32" s="18"/>
    </row>
    <row r="33" spans="1:4" x14ac:dyDescent="0.3">
      <c r="A33" s="20" t="s">
        <v>7</v>
      </c>
      <c r="B33" s="20"/>
      <c r="C33" s="18">
        <v>26555651</v>
      </c>
      <c r="D33" s="18"/>
    </row>
    <row r="34" spans="1:4" x14ac:dyDescent="0.3">
      <c r="A34" s="20" t="s">
        <v>9</v>
      </c>
      <c r="B34" s="20"/>
      <c r="C34" s="18">
        <v>22309017</v>
      </c>
      <c r="D34" s="18"/>
    </row>
    <row r="35" spans="1:4" x14ac:dyDescent="0.3">
      <c r="A35" s="20" t="s">
        <v>8</v>
      </c>
      <c r="B35" s="20"/>
      <c r="C35" s="18">
        <v>21982118</v>
      </c>
      <c r="D35" s="18"/>
    </row>
  </sheetData>
  <mergeCells count="57">
    <mergeCell ref="A34:B34"/>
    <mergeCell ref="C34:D34"/>
    <mergeCell ref="A35:B35"/>
    <mergeCell ref="C35:D35"/>
    <mergeCell ref="A31:B31"/>
    <mergeCell ref="C31:D31"/>
    <mergeCell ref="A32:B32"/>
    <mergeCell ref="C32:D32"/>
    <mergeCell ref="A33:B33"/>
    <mergeCell ref="C33:D33"/>
    <mergeCell ref="A28:B28"/>
    <mergeCell ref="C28:D28"/>
    <mergeCell ref="A29:B29"/>
    <mergeCell ref="C29:D29"/>
    <mergeCell ref="A30:B30"/>
    <mergeCell ref="C30:D30"/>
    <mergeCell ref="C22:D22"/>
    <mergeCell ref="C23:D23"/>
    <mergeCell ref="C24:D24"/>
    <mergeCell ref="A26:D26"/>
    <mergeCell ref="A27:B27"/>
    <mergeCell ref="C27:D27"/>
    <mergeCell ref="A20:B20"/>
    <mergeCell ref="A21:B21"/>
    <mergeCell ref="A22:B22"/>
    <mergeCell ref="A23:B23"/>
    <mergeCell ref="A24:B24"/>
    <mergeCell ref="C17:D17"/>
    <mergeCell ref="C18:D18"/>
    <mergeCell ref="C19:D19"/>
    <mergeCell ref="C20:D20"/>
    <mergeCell ref="C21:D21"/>
    <mergeCell ref="A15:D15"/>
    <mergeCell ref="A16:B16"/>
    <mergeCell ref="C16:D16"/>
    <mergeCell ref="A17:B17"/>
    <mergeCell ref="A18:B18"/>
    <mergeCell ref="A19:B19"/>
    <mergeCell ref="A11:B11"/>
    <mergeCell ref="C11:D11"/>
    <mergeCell ref="A12:B12"/>
    <mergeCell ref="C12:D12"/>
    <mergeCell ref="A13:B13"/>
    <mergeCell ref="C13:D13"/>
    <mergeCell ref="A8:B8"/>
    <mergeCell ref="C8:D8"/>
    <mergeCell ref="A9:B9"/>
    <mergeCell ref="C9:D9"/>
    <mergeCell ref="A10:B10"/>
    <mergeCell ref="C10:D10"/>
    <mergeCell ref="A4:D4"/>
    <mergeCell ref="A5:B5"/>
    <mergeCell ref="C5:D5"/>
    <mergeCell ref="A6:B6"/>
    <mergeCell ref="C6:D6"/>
    <mergeCell ref="A7:B7"/>
    <mergeCell ref="C7:D7"/>
  </mergeCells>
  <conditionalFormatting sqref="A6:B13">
    <cfRule type="colorScale" priority="10">
      <colorScale>
        <cfvo type="min"/>
        <cfvo type="percentile" val="50"/>
        <cfvo type="max"/>
        <color rgb="FFF8696B"/>
        <color rgb="FFFFEB84"/>
        <color rgb="FF63BE7B"/>
      </colorScale>
    </cfRule>
  </conditionalFormatting>
  <conditionalFormatting sqref="A6:D13">
    <cfRule type="dataBar" priority="5">
      <dataBar>
        <cfvo type="min"/>
        <cfvo type="max"/>
        <color rgb="FF638EC6"/>
      </dataBar>
      <extLst>
        <ext xmlns:x14="http://schemas.microsoft.com/office/spreadsheetml/2009/9/main" uri="{B025F937-C7B1-47D3-B67F-A62EFF666E3E}">
          <x14:id>{4802F8D6-CAF2-472B-9A92-A14CB2ABC6B6}</x14:id>
        </ext>
      </extLst>
    </cfRule>
  </conditionalFormatting>
  <conditionalFormatting sqref="A17:B24">
    <cfRule type="colorScale" priority="8">
      <colorScale>
        <cfvo type="min"/>
        <cfvo type="percentile" val="50"/>
        <cfvo type="max"/>
        <color rgb="FFF8696B"/>
        <color rgb="FFFFEB84"/>
        <color rgb="FF63BE7B"/>
      </colorScale>
    </cfRule>
  </conditionalFormatting>
  <conditionalFormatting sqref="A17:B24">
    <cfRule type="dataBar" priority="7">
      <dataBar>
        <cfvo type="min"/>
        <cfvo type="max"/>
        <color rgb="FFFF555A"/>
      </dataBar>
      <extLst>
        <ext xmlns:x14="http://schemas.microsoft.com/office/spreadsheetml/2009/9/main" uri="{B025F937-C7B1-47D3-B67F-A62EFF666E3E}">
          <x14:id>{5275E42F-17FD-44F4-B05F-7EF40B804D63}</x14:id>
        </ext>
      </extLst>
    </cfRule>
  </conditionalFormatting>
  <conditionalFormatting sqref="A17:D24">
    <cfRule type="dataBar" priority="6">
      <dataBar>
        <cfvo type="min"/>
        <cfvo type="max"/>
        <color rgb="FF63C384"/>
      </dataBar>
      <extLst>
        <ext xmlns:x14="http://schemas.microsoft.com/office/spreadsheetml/2009/9/main" uri="{B025F937-C7B1-47D3-B67F-A62EFF666E3E}">
          <x14:id>{2CF043E7-1B0E-4E35-93BA-36BF0EA20783}</x14:id>
        </ext>
      </extLst>
    </cfRule>
  </conditionalFormatting>
  <conditionalFormatting sqref="A28:B35">
    <cfRule type="colorScale" priority="4">
      <colorScale>
        <cfvo type="min"/>
        <cfvo type="percentile" val="50"/>
        <cfvo type="max"/>
        <color rgb="FFF8696B"/>
        <color rgb="FFFFEB84"/>
        <color rgb="FF63BE7B"/>
      </colorScale>
    </cfRule>
  </conditionalFormatting>
  <conditionalFormatting sqref="A28:B35">
    <cfRule type="dataBar" priority="3">
      <dataBar>
        <cfvo type="min"/>
        <cfvo type="max"/>
        <color rgb="FFFF555A"/>
      </dataBar>
      <extLst>
        <ext xmlns:x14="http://schemas.microsoft.com/office/spreadsheetml/2009/9/main" uri="{B025F937-C7B1-47D3-B67F-A62EFF666E3E}">
          <x14:id>{24F8E9D6-2A87-4D8D-A788-F6632F736316}</x14:id>
        </ext>
      </extLst>
    </cfRule>
  </conditionalFormatting>
  <conditionalFormatting sqref="A28:D35">
    <cfRule type="dataBar" priority="1">
      <dataBar>
        <cfvo type="min"/>
        <cfvo type="max"/>
        <color rgb="FFFF555A"/>
      </dataBar>
      <extLst>
        <ext xmlns:x14="http://schemas.microsoft.com/office/spreadsheetml/2009/9/main" uri="{B025F937-C7B1-47D3-B67F-A62EFF666E3E}">
          <x14:id>{970EA19D-B26B-4C88-8B2B-810146DBDF3C}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802F8D6-CAF2-472B-9A92-A14CB2ABC6B6}">
            <x14:dataBar minLength="0" maxLength="100" border="1" negativeBarBorderColorSameAsPositive="0">
              <x14:cfvo type="autoMin"/>
              <x14:cfvo type="autoMax"/>
              <x14:borderColor rgb="FF638EC6"/>
              <x14:negativeFillColor rgb="FFFF0000"/>
              <x14:negativeBorderColor rgb="FFFF0000"/>
              <x14:axisColor rgb="FF000000"/>
            </x14:dataBar>
          </x14:cfRule>
          <xm:sqref>A6:D13</xm:sqref>
        </x14:conditionalFormatting>
        <x14:conditionalFormatting xmlns:xm="http://schemas.microsoft.com/office/excel/2006/main">
          <x14:cfRule type="dataBar" id="{5275E42F-17FD-44F4-B05F-7EF40B804D63}">
            <x14:dataBar minLength="0" maxLength="100" border="1" negativeBarBorderColorSameAsPositive="0">
              <x14:cfvo type="autoMin"/>
              <x14:cfvo type="autoMax"/>
              <x14:borderColor rgb="FFFF555A"/>
              <x14:negativeFillColor rgb="FFFF0000"/>
              <x14:negativeBorderColor rgb="FFFF0000"/>
              <x14:axisColor rgb="FF000000"/>
            </x14:dataBar>
          </x14:cfRule>
          <xm:sqref>A17:B24</xm:sqref>
        </x14:conditionalFormatting>
        <x14:conditionalFormatting xmlns:xm="http://schemas.microsoft.com/office/excel/2006/main">
          <x14:cfRule type="dataBar" id="{2CF043E7-1B0E-4E35-93BA-36BF0EA20783}">
            <x14:dataBar minLength="0" maxLength="100" border="1" negativeBarBorderColorSameAsPositive="0">
              <x14:cfvo type="autoMin"/>
              <x14:cfvo type="autoMax"/>
              <x14:borderColor rgb="FF63C384"/>
              <x14:negativeFillColor rgb="FFFF0000"/>
              <x14:negativeBorderColor rgb="FFFF0000"/>
              <x14:axisColor rgb="FF000000"/>
            </x14:dataBar>
          </x14:cfRule>
          <xm:sqref>A17:D24</xm:sqref>
        </x14:conditionalFormatting>
        <x14:conditionalFormatting xmlns:xm="http://schemas.microsoft.com/office/excel/2006/main">
          <x14:cfRule type="dataBar" id="{24F8E9D6-2A87-4D8D-A788-F6632F736316}">
            <x14:dataBar minLength="0" maxLength="100" border="1" negativeBarBorderColorSameAsPositive="0">
              <x14:cfvo type="autoMin"/>
              <x14:cfvo type="autoMax"/>
              <x14:borderColor rgb="FFFF555A"/>
              <x14:negativeFillColor rgb="FFFF0000"/>
              <x14:negativeBorderColor rgb="FFFF0000"/>
              <x14:axisColor rgb="FF000000"/>
            </x14:dataBar>
          </x14:cfRule>
          <xm:sqref>A28:B35</xm:sqref>
        </x14:conditionalFormatting>
        <x14:conditionalFormatting xmlns:xm="http://schemas.microsoft.com/office/excel/2006/main">
          <x14:cfRule type="dataBar" id="{970EA19D-B26B-4C88-8B2B-810146DBDF3C}">
            <x14:dataBar minLength="0" maxLength="100" border="1" negativeBarBorderColorSameAsPositive="0">
              <x14:cfvo type="autoMin"/>
              <x14:cfvo type="autoMax"/>
              <x14:borderColor rgb="FFFF555A"/>
              <x14:negativeFillColor rgb="FFFF0000"/>
              <x14:negativeBorderColor rgb="FFFF0000"/>
              <x14:axisColor rgb="FF000000"/>
            </x14:dataBar>
          </x14:cfRule>
          <xm:sqref>A28:D35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COVID_Data</vt:lpstr>
      <vt:lpstr>New_Columns</vt:lpstr>
      <vt:lpstr>Pivot_Tables</vt:lpstr>
      <vt:lpstr>Active Cases Trend</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Pruthviraj Kashid</cp:lastModifiedBy>
  <dcterms:created xsi:type="dcterms:W3CDTF">2026-04-22T10:37:31Z</dcterms:created>
  <dcterms:modified xsi:type="dcterms:W3CDTF">2026-04-22T16:33:23Z</dcterms:modified>
</cp:coreProperties>
</file>